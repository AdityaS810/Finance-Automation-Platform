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Quarterly P&amp;L" sheetId="1" state="visible" r:id="rId1"/>
    <sheet xmlns:r="http://schemas.openxmlformats.org/officeDocument/2006/relationships" name="Monthly P&amp;L" sheetId="2" state="hidden" r:id="rId2"/>
    <sheet xmlns:r="http://schemas.openxmlformats.org/officeDocument/2006/relationships" name="COGS Allocation Working" sheetId="3" state="hidden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\₹#,##0;\(\₹#,##0\);&quot;-&quot;"/>
    <numFmt numFmtId="165" formatCode="0.0%;\(0.0%\);&quot;-&quot;"/>
  </numFmts>
  <fonts count="1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FFFFFF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i val="1"/>
      <color rgb="FF000000"/>
      <sz val="9"/>
    </font>
    <font>
      <name val="Arial"/>
      <b val="1"/>
      <color rgb="FF000000"/>
      <sz val="9"/>
    </font>
    <font>
      <name val="Arial"/>
      <b val="1"/>
      <color rgb="FFFFFFFF"/>
      <sz val="10"/>
    </font>
    <font>
      <name val="Arial"/>
      <b val="1"/>
      <color rgb="FF1F2D4E"/>
      <sz val="10"/>
    </font>
    <font>
      <name val="Arial"/>
      <i val="1"/>
      <color rgb="FF555555"/>
      <sz val="8"/>
    </font>
    <font>
      <name val="Arial"/>
      <i val="1"/>
      <color rgb="FF666666"/>
      <sz val="8"/>
    </font>
    <font>
      <name val="Arial"/>
      <b val="1"/>
      <color rgb="FFFFFFFF"/>
      <sz val="12"/>
    </font>
    <font>
      <name val="Arial"/>
      <b val="1"/>
      <color rgb="FF5D4037"/>
      <sz val="9"/>
    </font>
    <font>
      <name val="Arial"/>
      <color rgb="FF000000"/>
      <sz val="8"/>
    </font>
    <font>
      <name val="Arial"/>
      <b val="1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2D4E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/>
      <right/>
      <top style="thin">
        <color rgb="FF1F2D4E"/>
      </top>
      <bottom/>
      <diagonal/>
    </border>
    <border>
      <left/>
      <right/>
      <top style="medium">
        <color rgb="FF1F2D4E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0" fillId="6" borderId="0" pivotButton="0" quotePrefix="0" xfId="0"/>
    <xf numFmtId="0" fontId="4" fillId="6" borderId="0" applyAlignment="1" pivotButton="0" quotePrefix="0" xfId="0">
      <alignment horizontal="left" vertical="center"/>
    </xf>
    <xf numFmtId="164" fontId="4" fillId="6" borderId="0" applyAlignment="1" pivotButton="0" quotePrefix="0" xfId="0">
      <alignment horizontal="right" vertical="center"/>
    </xf>
    <xf numFmtId="0" fontId="0" fillId="7" borderId="0" pivotButton="0" quotePrefix="0" xfId="0"/>
    <xf numFmtId="0" fontId="6" fillId="7" borderId="0" applyAlignment="1" pivotButton="0" quotePrefix="0" xfId="0">
      <alignment horizontal="left" vertical="center"/>
    </xf>
    <xf numFmtId="164" fontId="6" fillId="7" borderId="1" applyAlignment="1" pivotButton="0" quotePrefix="0" xfId="0">
      <alignment horizontal="right" vertical="center"/>
    </xf>
    <xf numFmtId="0" fontId="0" fillId="8" borderId="0" pivotButton="0" quotePrefix="0" xfId="0"/>
    <xf numFmtId="0" fontId="5" fillId="5" borderId="0" applyAlignment="1" pivotButton="0" quotePrefix="0" xfId="0">
      <alignment horizontal="left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164" fontId="7" fillId="2" borderId="2" applyAlignment="1" pivotButton="0" quotePrefix="0" xfId="0">
      <alignment horizontal="right" vertical="center"/>
    </xf>
    <xf numFmtId="165" fontId="5" fillId="5" borderId="0" applyAlignment="1" pivotButton="0" quotePrefix="0" xfId="0">
      <alignment horizontal="center" vertical="center"/>
    </xf>
    <xf numFmtId="0" fontId="0" fillId="9" borderId="0" pivotButton="0" quotePrefix="0" xfId="0"/>
    <xf numFmtId="0" fontId="6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6" fillId="10" borderId="0" applyAlignment="1" pivotButton="0" quotePrefix="0" xfId="0">
      <alignment horizontal="left" vertical="center"/>
    </xf>
    <xf numFmtId="0" fontId="0" fillId="11" borderId="0" pivotButton="0" quotePrefix="0" xfId="0"/>
    <xf numFmtId="0" fontId="6" fillId="11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165" fontId="5" fillId="6" borderId="0" applyAlignment="1" pivotButton="0" quotePrefix="0" xfId="0">
      <alignment horizontal="center" vertical="center"/>
    </xf>
    <xf numFmtId="0" fontId="6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12" borderId="0" pivotButton="0" quotePrefix="0" xfId="0"/>
    <xf numFmtId="0" fontId="6" fillId="12" borderId="0" pivotButton="0" quotePrefix="0" xfId="0"/>
    <xf numFmtId="0" fontId="8" fillId="1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right" vertical="center"/>
    </xf>
    <xf numFmtId="164" fontId="14" fillId="7" borderId="1" applyAlignment="1" pivotButton="0" quotePrefix="0" xfId="0">
      <alignment horizontal="right" vertical="center"/>
    </xf>
    <xf numFmtId="0" fontId="0" fillId="14" borderId="0" pivotButton="0" quotePrefix="0" xfId="0"/>
    <xf numFmtId="0" fontId="6" fillId="14" borderId="0" applyAlignment="1" pivotButton="0" quotePrefix="0" xfId="0">
      <alignment horizontal="left" vertical="center"/>
    </xf>
    <xf numFmtId="164" fontId="14" fillId="14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13" fillId="9" borderId="0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164" fontId="13" fillId="10" borderId="0" applyAlignment="1" pivotButton="0" quotePrefix="0" xfId="0">
      <alignment horizontal="right" vertical="center"/>
    </xf>
    <xf numFmtId="164" fontId="14" fillId="10" borderId="1" applyAlignment="1" pivotButton="0" quotePrefix="0" xfId="0">
      <alignment horizontal="right" vertical="center"/>
    </xf>
    <xf numFmtId="0" fontId="4" fillId="11" borderId="0" applyAlignment="1" pivotButton="0" quotePrefix="0" xfId="0">
      <alignment horizontal="left" vertical="center"/>
    </xf>
    <xf numFmtId="164" fontId="13" fillId="11" borderId="0" applyAlignment="1" pivotButton="0" quotePrefix="0" xfId="0">
      <alignment horizontal="right" vertical="center"/>
    </xf>
    <xf numFmtId="164" fontId="14" fillId="11" borderId="1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164" fontId="14" fillId="8" borderId="1" applyAlignment="1" pivotButton="0" quotePrefix="0" xfId="0">
      <alignment horizontal="right" vertical="center"/>
    </xf>
    <xf numFmtId="164" fontId="15" fillId="2" borderId="1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/>
    </xf>
    <xf numFmtId="164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164" fontId="13" fillId="6" borderId="0" applyAlignment="1" pivotButton="0" quotePrefix="0" xfId="0">
      <alignment horizontal="center" vertical="center"/>
    </xf>
    <xf numFmtId="0" fontId="6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B2" sqref="B2:H2"/>
    </sheetView>
  </sheetViews>
  <sheetFormatPr baseColWidth="8" defaultRowHeight="14.5"/>
  <cols>
    <col width="2" customWidth="1" style="63" min="1" max="1"/>
    <col width="61.36328125" bestFit="1" customWidth="1" style="63" min="2" max="2"/>
    <col width="14" customWidth="1" style="63" min="3" max="3"/>
    <col width="13.36328125" bestFit="1" customWidth="1" style="63" min="4" max="4"/>
    <col width="11.453125" bestFit="1" customWidth="1" style="63" min="5" max="5"/>
    <col width="11.1796875" bestFit="1" customWidth="1" style="63" min="6" max="6"/>
    <col width="12.7265625" bestFit="1" customWidth="1" style="63" min="7" max="7"/>
    <col width="6" bestFit="1" customWidth="1" style="63" min="8" max="8"/>
  </cols>
  <sheetData>
    <row r="1" ht="28" customHeight="1" s="63">
      <c r="B1" s="70" t="inlineStr">
        <is>
          <t>MIDOFFICE DATA  |  Profit &amp; Loss Statement  |  FY 2025-26  (Apr 2025 – Mar 2026)</t>
        </is>
      </c>
    </row>
    <row r="2" ht="16" customHeight="1" s="63">
      <c r="B2" s="66" t="inlineStr">
        <is>
          <t>India Parent (Midoffice Data Solutions Pvt Ltd) + US Subsidiary (Midoffice Data International Inc.)  |  Accrual Basis  |  FX: ₹90/USD  |  COGS: 2025-09 onwards  |  All amounts in INR (₹)</t>
        </is>
      </c>
    </row>
    <row r="4" ht="28" customHeight="1" s="63">
      <c r="A4" s="1" t="n"/>
      <c r="B4" s="1" t="inlineStr">
        <is>
          <t>Line Item</t>
        </is>
      </c>
      <c r="C4" s="1" t="inlineStr">
        <is>
          <t>Q1
(Apr–Jun 25)</t>
        </is>
      </c>
      <c r="D4" s="1" t="inlineStr">
        <is>
          <t>Q2
(Jul–Sep 25)</t>
        </is>
      </c>
      <c r="E4" s="1" t="inlineStr">
        <is>
          <t>Q3
(Oct–Dec 25)</t>
        </is>
      </c>
      <c r="F4" s="1" t="inlineStr">
        <is>
          <t>Q4
(Jan–Mar 26)</t>
        </is>
      </c>
      <c r="G4" s="1" t="inlineStr">
        <is>
          <t>FY
2025-26</t>
        </is>
      </c>
      <c r="H4" s="1" t="inlineStr">
        <is>
          <t>% Rev</t>
        </is>
      </c>
    </row>
    <row r="5" ht="16" customHeight="1" s="63">
      <c r="A5" s="2" t="n"/>
      <c r="B5" s="3" t="inlineStr">
        <is>
          <t>REVENUE</t>
        </is>
      </c>
      <c r="H5" s="2" t="n"/>
    </row>
    <row r="6" ht="16" customHeight="1" s="63">
      <c r="A6" s="68" t="n"/>
      <c r="B6" s="5" t="inlineStr">
        <is>
          <t xml:space="preserve">  Tech Mahindra (TechM) Billings</t>
        </is>
      </c>
      <c r="C6" s="6">
        <f>SUM('Monthly P&amp;L'!C5:E5)</f>
        <v/>
      </c>
      <c r="D6" s="6">
        <f>SUM('Monthly P&amp;L'!F5:H5)</f>
        <v/>
      </c>
      <c r="E6" s="6">
        <f>SUM('Monthly P&amp;L'!I5:K5)</f>
        <v/>
      </c>
      <c r="F6" s="6">
        <f>SUM('Monthly P&amp;L'!L5:N5)</f>
        <v/>
      </c>
      <c r="G6" s="6">
        <f>SUM(C6:F6)</f>
        <v/>
      </c>
      <c r="H6" s="68">
        <f>IFERROR(G6/$G$9,0)</f>
        <v/>
      </c>
    </row>
    <row r="7" ht="16" customHeight="1" s="63">
      <c r="A7" s="7" t="n"/>
      <c r="B7" s="8" t="inlineStr">
        <is>
          <t xml:space="preserve">  BSM — Platform AMC + Accrual Generation Feature Enablement</t>
        </is>
      </c>
      <c r="C7" s="9">
        <f>SUM('Monthly P&amp;L'!C6:E6)</f>
        <v/>
      </c>
      <c r="D7" s="9">
        <f>SUM('Monthly P&amp;L'!F6:H6)</f>
        <v/>
      </c>
      <c r="E7" s="9">
        <f>SUM('Monthly P&amp;L'!I6:K6)</f>
        <v/>
      </c>
      <c r="F7" s="9">
        <f>SUM('Monthly P&amp;L'!L6:N6)</f>
        <v/>
      </c>
      <c r="G7" s="9">
        <f>SUM(C7:F7)</f>
        <v/>
      </c>
      <c r="H7" s="7">
        <f>IFERROR(G7/$G$9,0)</f>
        <v/>
      </c>
    </row>
    <row r="8" ht="16" customHeight="1" s="63">
      <c r="A8" s="68" t="n"/>
      <c r="B8" s="5" t="inlineStr">
        <is>
          <t xml:space="preserve">  Fixed Deposit Interest Income</t>
        </is>
      </c>
      <c r="C8" s="6">
        <f>SUM('Monthly P&amp;L'!C7:E7)</f>
        <v/>
      </c>
      <c r="D8" s="6">
        <f>SUM('Monthly P&amp;L'!F7:H7)</f>
        <v/>
      </c>
      <c r="E8" s="6">
        <f>SUM('Monthly P&amp;L'!I7:K7)</f>
        <v/>
      </c>
      <c r="F8" s="6">
        <f>SUM('Monthly P&amp;L'!L7:N7)</f>
        <v/>
      </c>
      <c r="G8" s="6">
        <f>SUM(C8:F8)</f>
        <v/>
      </c>
      <c r="H8" s="68">
        <f>IFERROR(G8/$G$9,0)</f>
        <v/>
      </c>
    </row>
    <row r="9" ht="16" customHeight="1" s="63">
      <c r="A9" s="10" t="n"/>
      <c r="B9" s="11" t="inlineStr">
        <is>
          <t>TOTAL REVENUE</t>
        </is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0">
        <f>IFERROR(G9/$G$9,0)</f>
        <v/>
      </c>
    </row>
    <row r="10" ht="5" customHeight="1" s="63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 ht="16" customHeight="1" s="63">
      <c r="A11" s="2" t="n"/>
      <c r="B11" s="3" t="inlineStr">
        <is>
          <t>COST OF GOODS SOLD (COGS)</t>
        </is>
      </c>
      <c r="H11" s="2" t="n"/>
    </row>
    <row r="12" ht="16" customHeight="1" s="63">
      <c r="A12" s="7" t="n"/>
      <c r="B12" s="8" t="inlineStr">
        <is>
          <t xml:space="preserve">  Delivery — India</t>
        </is>
      </c>
      <c r="C12" s="9">
        <f>SUM('COGS Allocation Working'!E4:G9)</f>
        <v/>
      </c>
      <c r="D12" s="9">
        <f>SUM('COGS Allocation Working'!H4:J9)</f>
        <v/>
      </c>
      <c r="E12" s="9">
        <f>SUM('COGS Allocation Working'!K4:M9)</f>
        <v/>
      </c>
      <c r="F12" s="9">
        <f>SUM('COGS Allocation Working'!N4:P9)</f>
        <v/>
      </c>
      <c r="G12" s="9">
        <f>SUM(C12:F12)</f>
        <v/>
      </c>
      <c r="H12" s="7">
        <f>IFERROR(G12/$G$9,0)</f>
        <v/>
      </c>
    </row>
    <row r="13" ht="16" customHeight="1" s="63">
      <c r="A13" s="7" t="n"/>
      <c r="B13" s="8" t="inlineStr">
        <is>
          <t xml:space="preserve">  BSM Delivery Contractors</t>
        </is>
      </c>
      <c r="C13" s="9">
        <f>SUM('COGS Allocation Working'!E12:G12)</f>
        <v/>
      </c>
      <c r="D13" s="9">
        <f>SUM('COGS Allocation Working'!H12:J12)</f>
        <v/>
      </c>
      <c r="E13" s="9">
        <f>SUM('COGS Allocation Working'!K12:M12)</f>
        <v/>
      </c>
      <c r="F13" s="9">
        <f>SUM('COGS Allocation Working'!N12:P12)</f>
        <v/>
      </c>
      <c r="G13" s="9">
        <f>SUM(C13:F13)</f>
        <v/>
      </c>
      <c r="H13" s="7">
        <f>IFERROR(G13/$G$9,0)</f>
        <v/>
      </c>
    </row>
    <row r="14" ht="16" customHeight="1" s="63">
      <c r="A14" s="68" t="n"/>
      <c r="B14" s="5" t="inlineStr">
        <is>
          <t xml:space="preserve">  Ramki — Delivery Allocation (50% COGS, Sep-Mar)</t>
        </is>
      </c>
      <c r="C14" s="6">
        <f>SUM('COGS Allocation Working'!E10:G10)</f>
        <v/>
      </c>
      <c r="D14" s="6">
        <f>SUM('COGS Allocation Working'!H10:J10)</f>
        <v/>
      </c>
      <c r="E14" s="6">
        <f>SUM('COGS Allocation Working'!K10:M10)</f>
        <v/>
      </c>
      <c r="F14" s="6">
        <f>SUM('COGS Allocation Working'!N10:P10)</f>
        <v/>
      </c>
      <c r="G14" s="6">
        <f>SUM(C14:F14)</f>
        <v/>
      </c>
      <c r="H14" s="68">
        <f>IFERROR(G14/$G$9,0)</f>
        <v/>
      </c>
    </row>
    <row r="15" ht="16" customHeight="1" s="63">
      <c r="A15" s="7" t="n"/>
      <c r="B15" s="8" t="inlineStr">
        <is>
          <t xml:space="preserve">  Dorothea Stoll — Account &amp; Delivery (COGS, Oct-Mar)</t>
        </is>
      </c>
      <c r="C15" s="9">
        <f>SUM('COGS Allocation Working'!E11:G11)</f>
        <v/>
      </c>
      <c r="D15" s="9">
        <f>SUM('COGS Allocation Working'!H11:J11)</f>
        <v/>
      </c>
      <c r="E15" s="9">
        <f>SUM('COGS Allocation Working'!K11:M11)</f>
        <v/>
      </c>
      <c r="F15" s="9">
        <f>SUM('COGS Allocation Working'!N11:P11)</f>
        <v/>
      </c>
      <c r="G15" s="9">
        <f>SUM(C15:F15)</f>
        <v/>
      </c>
      <c r="H15" s="7">
        <f>IFERROR(G15/$G$9,0)</f>
        <v/>
      </c>
    </row>
    <row r="16" ht="16" customHeight="1" s="63">
      <c r="A16" s="68" t="n"/>
      <c r="B16" s="5" t="inlineStr">
        <is>
          <t xml:space="preserve">  External Delivery Vendors (Conam + Biltzentech +Altysys )</t>
        </is>
      </c>
      <c r="C16" s="6">
        <f>SUM('COGS Allocation Working'!E13:G14)</f>
        <v/>
      </c>
      <c r="D16" s="6">
        <f>SUM('COGS Allocation Working'!H13:J14)</f>
        <v/>
      </c>
      <c r="E16" s="6">
        <f>SUM('COGS Allocation Working'!K13:M14)</f>
        <v/>
      </c>
      <c r="F16" s="6">
        <f>SUM('COGS Allocation Working'!N13:P14)</f>
        <v/>
      </c>
      <c r="G16" s="6">
        <f>SUM(C16:F16)</f>
        <v/>
      </c>
      <c r="H16" s="68">
        <f>IFERROR(G16/$G$9,0)</f>
        <v/>
      </c>
    </row>
    <row r="17" ht="16" customHeight="1" s="63">
      <c r="A17" s="68" t="n"/>
      <c r="B17" s="5" t="inlineStr">
        <is>
          <t>Technology Costs</t>
        </is>
      </c>
      <c r="C17" s="6">
        <f>25800.0*3</f>
        <v/>
      </c>
      <c r="D17" s="6">
        <f>25800.0*3</f>
        <v/>
      </c>
      <c r="E17" s="6">
        <f>25800.0*3</f>
        <v/>
      </c>
      <c r="F17" s="6">
        <f>25800.0*3</f>
        <v/>
      </c>
      <c r="G17" s="6">
        <f>SUM(C17:F17)</f>
        <v/>
      </c>
      <c r="H17" s="68">
        <f>IFERROR(G17/$G$9,0)</f>
        <v/>
      </c>
    </row>
    <row r="18" ht="16" customHeight="1" s="63">
      <c r="A18" s="10" t="n"/>
      <c r="B18" s="11" t="inlineStr">
        <is>
          <t>TOTAL COGS</t>
        </is>
      </c>
      <c r="C18" s="12">
        <f>SUM(C12:C17)</f>
        <v/>
      </c>
      <c r="D18" s="12">
        <f>SUM(D12:D17)</f>
        <v/>
      </c>
      <c r="E18" s="12">
        <f>SUM(E12:E17)</f>
        <v/>
      </c>
      <c r="F18" s="12">
        <f>SUM(F12:F17)</f>
        <v/>
      </c>
      <c r="G18" s="12">
        <f>SUM(G12:G17)</f>
        <v/>
      </c>
      <c r="H18" s="10">
        <f>IFERROR(G18/$G$9,0)</f>
        <v/>
      </c>
    </row>
    <row r="19" ht="5" customHeight="1" s="63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 ht="18" customHeight="1" s="63">
      <c r="A20" s="15" t="n"/>
      <c r="B20" s="16" t="inlineStr">
        <is>
          <t>GROSS PROFIT</t>
        </is>
      </c>
      <c r="C20" s="17">
        <f>C9-C18</f>
        <v/>
      </c>
      <c r="D20" s="17">
        <f>D9-D18</f>
        <v/>
      </c>
      <c r="E20" s="17">
        <f>E9-E18</f>
        <v/>
      </c>
      <c r="F20" s="17">
        <f>F9-F18</f>
        <v/>
      </c>
      <c r="G20" s="17">
        <f>G9-G18</f>
        <v/>
      </c>
      <c r="H20" s="15">
        <f>IFERROR(G20/$G$9,0)</f>
        <v/>
      </c>
    </row>
    <row r="21" ht="16" customHeight="1" s="63">
      <c r="A21" s="68" t="n"/>
      <c r="B21" s="14" t="inlineStr">
        <is>
          <t xml:space="preserve">  Gross Margin %</t>
        </is>
      </c>
      <c r="C21" s="18">
        <f>IFERROR(C20/C9,0)</f>
        <v/>
      </c>
      <c r="D21" s="18">
        <f>IFERROR(D20/D9,0)</f>
        <v/>
      </c>
      <c r="E21" s="18">
        <f>IFERROR(E20/E9,0)</f>
        <v/>
      </c>
      <c r="F21" s="18">
        <f>IFERROR(F20/F9,0)</f>
        <v/>
      </c>
      <c r="G21" s="18">
        <f>IFERROR(AVERAGE(C21:F21),0)</f>
        <v/>
      </c>
      <c r="H21" s="68" t="n"/>
    </row>
    <row r="22" ht="5" customHeight="1" s="63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 ht="16" customHeight="1" s="63">
      <c r="A23" s="2" t="n"/>
      <c r="B23" s="3" t="inlineStr">
        <is>
          <t>OPERATING EXPENSES</t>
        </is>
      </c>
      <c r="H23" s="2" t="n"/>
    </row>
    <row r="24" ht="16" customHeight="1" s="63">
      <c r="A24" s="19" t="n"/>
      <c r="B24" s="20" t="inlineStr">
        <is>
          <t>Sales &amp; Marketing (S&amp;M)</t>
        </is>
      </c>
      <c r="H24" s="19" t="n"/>
    </row>
    <row r="25" ht="16" customHeight="1" s="63">
      <c r="A25" s="68" t="n"/>
      <c r="B25" s="5" t="inlineStr">
        <is>
          <t xml:space="preserve">      Ramki — S&amp;M Allocation (100% Apr-Aug | 50% Sep-Mar)</t>
        </is>
      </c>
      <c r="C25" s="6">
        <f>SUM('Monthly P&amp;L'!C13:E13)</f>
        <v/>
      </c>
      <c r="D25" s="6">
        <f>SUM('Monthly P&amp;L'!F13:H13)</f>
        <v/>
      </c>
      <c r="E25" s="6">
        <f>SUM('Monthly P&amp;L'!I13:K13)</f>
        <v/>
      </c>
      <c r="F25" s="6">
        <f>SUM('Monthly P&amp;L'!L13:N13)</f>
        <v/>
      </c>
      <c r="G25" s="6">
        <f>SUM(C25:F25)</f>
        <v/>
      </c>
      <c r="H25" s="68">
        <f>IFERROR(G25/$G$9,0)</f>
        <v/>
      </c>
    </row>
    <row r="26" ht="16" customHeight="1" s="63">
      <c r="A26" s="7" t="n"/>
      <c r="B26" s="8" t="inlineStr">
        <is>
          <t xml:space="preserve">      Advertising &amp; Marketing</t>
        </is>
      </c>
      <c r="C26" s="9">
        <f>SUM('Monthly P&amp;L'!C14:E14)</f>
        <v/>
      </c>
      <c r="D26" s="9">
        <f>SUM('Monthly P&amp;L'!F14:H14)</f>
        <v/>
      </c>
      <c r="E26" s="9">
        <f>SUM('Monthly P&amp;L'!I14:K14)</f>
        <v/>
      </c>
      <c r="F26" s="9">
        <f>SUM('Monthly P&amp;L'!L14:N14)</f>
        <v/>
      </c>
      <c r="G26" s="9">
        <f>SUM(C26:F26)</f>
        <v/>
      </c>
      <c r="H26" s="7">
        <f>IFERROR(G26/$G$9,0)</f>
        <v/>
      </c>
    </row>
    <row r="27" ht="16" customHeight="1" s="63">
      <c r="A27" s="68" t="n"/>
      <c r="B27" s="5" t="inlineStr">
        <is>
          <t xml:space="preserve">      Travel Expenses</t>
        </is>
      </c>
      <c r="C27" s="6">
        <f>SUM('Monthly P&amp;L'!C15:E15)</f>
        <v/>
      </c>
      <c r="D27" s="6">
        <f>SUM('Monthly P&amp;L'!F15:H15)</f>
        <v/>
      </c>
      <c r="E27" s="6">
        <f>SUM('Monthly P&amp;L'!I15:K15)</f>
        <v/>
      </c>
      <c r="F27" s="6">
        <f>SUM('Monthly P&amp;L'!L15:N15)</f>
        <v/>
      </c>
      <c r="G27" s="6">
        <f>SUM(C27:F27)</f>
        <v/>
      </c>
      <c r="H27" s="68">
        <f>IFERROR(G27/$G$9,0)</f>
        <v/>
      </c>
    </row>
    <row r="28" ht="16" customHeight="1" s="63">
      <c r="A28" s="7" t="n"/>
      <c r="B28" s="8" t="inlineStr">
        <is>
          <t xml:space="preserve">      Meals &amp; Entertainment</t>
        </is>
      </c>
      <c r="C28" s="9">
        <f>SUM('Monthly P&amp;L'!C16:E16)</f>
        <v/>
      </c>
      <c r="D28" s="9">
        <f>SUM('Monthly P&amp;L'!F16:H16)</f>
        <v/>
      </c>
      <c r="E28" s="9">
        <f>SUM('Monthly P&amp;L'!I16:K16)</f>
        <v/>
      </c>
      <c r="F28" s="9">
        <f>SUM('Monthly P&amp;L'!L16:N16)</f>
        <v/>
      </c>
      <c r="G28" s="9">
        <f>SUM(C28:F28)</f>
        <v/>
      </c>
      <c r="H28" s="7">
        <f>IFERROR(G28/$G$9,0)</f>
        <v/>
      </c>
    </row>
    <row r="29" ht="16" customHeight="1" s="63">
      <c r="A29" s="10" t="n"/>
      <c r="B29" s="11" t="inlineStr">
        <is>
          <t xml:space="preserve">  Total S&amp;M</t>
        </is>
      </c>
      <c r="C29" s="12">
        <f>SUM(C25:C28)</f>
        <v/>
      </c>
      <c r="D29" s="12">
        <f>SUM(D25:D28)</f>
        <v/>
      </c>
      <c r="E29" s="12">
        <f>SUM(E25:E28)</f>
        <v/>
      </c>
      <c r="F29" s="12">
        <f>SUM(F25:F28)</f>
        <v/>
      </c>
      <c r="G29" s="12">
        <f>SUM(G25:G28)</f>
        <v/>
      </c>
      <c r="H29" s="10">
        <f>IFERROR(G29/$G$9,0)</f>
        <v/>
      </c>
    </row>
    <row r="30" ht="5" customHeight="1" s="63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 ht="16" customHeight="1" s="63">
      <c r="A31" s="21" t="n"/>
      <c r="B31" s="22" t="inlineStr">
        <is>
          <t>Research &amp; Development (R&amp;D)</t>
        </is>
      </c>
      <c r="H31" s="21" t="n"/>
    </row>
    <row r="32" ht="16" customHeight="1" s="63">
      <c r="A32" s="7" t="n"/>
      <c r="B32" s="8" t="inlineStr">
        <is>
          <t xml:space="preserve">      India Salaries — R&amp;D &amp; Overhead</t>
        </is>
      </c>
      <c r="C32" s="9">
        <f>SUM('Monthly P&amp;L'!C19:E19)</f>
        <v/>
      </c>
      <c r="D32" s="9">
        <f>SUM('Monthly P&amp;L'!F19:H19)</f>
        <v/>
      </c>
      <c r="E32" s="9">
        <f>SUM('Monthly P&amp;L'!I19:K19)</f>
        <v/>
      </c>
      <c r="F32" s="9">
        <f>SUM('Monthly P&amp;L'!L19:N19)</f>
        <v/>
      </c>
      <c r="G32" s="9">
        <f>SUM(C32:F32)</f>
        <v/>
      </c>
      <c r="H32" s="7">
        <f>IFERROR(G32/$G$9,0)</f>
        <v/>
      </c>
    </row>
    <row r="33" ht="16" customHeight="1" s="63">
      <c r="A33" s="68" t="n"/>
      <c r="B33" s="5" t="inlineStr">
        <is>
          <t xml:space="preserve">      Consultant &amp; Contractor Expense (StackPro + R&amp;D vendors)</t>
        </is>
      </c>
      <c r="C33" s="6">
        <f>SUM('Monthly P&amp;L'!C20:E20)</f>
        <v/>
      </c>
      <c r="D33" s="6">
        <f>SUM('Monthly P&amp;L'!F20:H20)</f>
        <v/>
      </c>
      <c r="E33" s="6">
        <f>SUM('Monthly P&amp;L'!I20:K20)</f>
        <v/>
      </c>
      <c r="F33" s="6">
        <f>SUM('Monthly P&amp;L'!L20:N20)</f>
        <v/>
      </c>
      <c r="G33" s="6">
        <f>SUM(C33:F33)</f>
        <v/>
      </c>
      <c r="H33" s="68">
        <f>IFERROR(G33/$G$9,0)</f>
        <v/>
      </c>
    </row>
    <row r="34" ht="16" customHeight="1" s="63">
      <c r="A34" s="7" t="n"/>
      <c r="B34" s="8" t="inlineStr">
        <is>
          <t xml:space="preserve">      Software Subscriptions</t>
        </is>
      </c>
      <c r="C34" s="9">
        <f>SUM('Monthly P&amp;L'!C21:E21)</f>
        <v/>
      </c>
      <c r="D34" s="9">
        <f>SUM('Monthly P&amp;L'!F21:H21)</f>
        <v/>
      </c>
      <c r="E34" s="9">
        <f>SUM('Monthly P&amp;L'!I21:K21)</f>
        <v/>
      </c>
      <c r="F34" s="9">
        <f>SUM('Monthly P&amp;L'!L21:N21)</f>
        <v/>
      </c>
      <c r="G34" s="9">
        <f>SUM(C34:F34)</f>
        <v/>
      </c>
      <c r="H34" s="7">
        <f>IFERROR(G34/$G$9,0)</f>
        <v/>
      </c>
    </row>
    <row r="35" ht="16" customHeight="1" s="63">
      <c r="A35" s="10" t="n"/>
      <c r="B35" s="11" t="inlineStr">
        <is>
          <t xml:space="preserve">  Total R&amp;D</t>
        </is>
      </c>
      <c r="C35" s="12">
        <f>SUM(C32:C34)</f>
        <v/>
      </c>
      <c r="D35" s="12">
        <f>SUM(D32:D34)</f>
        <v/>
      </c>
      <c r="E35" s="12">
        <f>SUM(E32:E34)</f>
        <v/>
      </c>
      <c r="F35" s="12">
        <f>SUM(F32:F34)</f>
        <v/>
      </c>
      <c r="G35" s="12">
        <f>SUM(G32:G34)</f>
        <v/>
      </c>
      <c r="H35" s="10">
        <f>IFERROR(G35/$G$9,0)</f>
        <v/>
      </c>
    </row>
    <row r="36" ht="5" customHeight="1" s="63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 ht="16" customHeight="1" s="63">
      <c r="A37" s="23" t="n"/>
      <c r="B37" s="24" t="inlineStr">
        <is>
          <t>General &amp; Administrative (G&amp;A)</t>
        </is>
      </c>
      <c r="H37" s="23" t="n"/>
    </row>
    <row r="38" ht="16" customHeight="1" s="63">
      <c r="A38" s="7" t="n"/>
      <c r="B38" s="8" t="inlineStr">
        <is>
          <t xml:space="preserve">      Rent (Innov8 co-working)</t>
        </is>
      </c>
      <c r="C38" s="9">
        <f>SUM('Monthly P&amp;L'!C24:E24)</f>
        <v/>
      </c>
      <c r="D38" s="9">
        <f>SUM('Monthly P&amp;L'!F24:H24)</f>
        <v/>
      </c>
      <c r="E38" s="9">
        <f>SUM('Monthly P&amp;L'!I24:K24)</f>
        <v/>
      </c>
      <c r="F38" s="9">
        <f>SUM('Monthly P&amp;L'!L24:N24)</f>
        <v/>
      </c>
      <c r="G38" s="9">
        <f>SUM(C38:F38)</f>
        <v/>
      </c>
      <c r="H38" s="7">
        <f>IFERROR(G38/$G$9,0)</f>
        <v/>
      </c>
    </row>
    <row r="39" ht="16" customHeight="1" s="63">
      <c r="A39" s="68" t="n"/>
      <c r="B39" s="5" t="inlineStr">
        <is>
          <t xml:space="preserve">      IT &amp; Internet Expenses</t>
        </is>
      </c>
      <c r="C39" s="6">
        <f>SUM('Monthly P&amp;L'!C25:E25)</f>
        <v/>
      </c>
      <c r="D39" s="6">
        <f>SUM('Monthly P&amp;L'!F25:H25)</f>
        <v/>
      </c>
      <c r="E39" s="6">
        <f>SUM('Monthly P&amp;L'!I25:K25)</f>
        <v/>
      </c>
      <c r="F39" s="6">
        <f>SUM('Monthly P&amp;L'!L25:N25)</f>
        <v/>
      </c>
      <c r="G39" s="6">
        <f>SUM(C39:F39)</f>
        <v/>
      </c>
      <c r="H39" s="68">
        <f>IFERROR(G39/$G$9,0)</f>
        <v/>
      </c>
    </row>
    <row r="40" ht="16" customHeight="1" s="63">
      <c r="A40" s="7" t="n"/>
      <c r="B40" s="8" t="inlineStr">
        <is>
          <t xml:space="preserve">      Legal Expenses</t>
        </is>
      </c>
      <c r="C40" s="9">
        <f>SUM('Monthly P&amp;L'!C26:E26)</f>
        <v/>
      </c>
      <c r="D40" s="9">
        <f>SUM('Monthly P&amp;L'!F26:H26)</f>
        <v/>
      </c>
      <c r="E40" s="9">
        <f>SUM('Monthly P&amp;L'!I26:K26)</f>
        <v/>
      </c>
      <c r="F40" s="9">
        <f>SUM('Monthly P&amp;L'!L26:N26)</f>
        <v/>
      </c>
      <c r="G40" s="9">
        <f>SUM(C40:F40)</f>
        <v/>
      </c>
      <c r="H40" s="7">
        <f>IFERROR(G40/$G$9,0)</f>
        <v/>
      </c>
    </row>
    <row r="41" ht="16" customHeight="1" s="63">
      <c r="A41" s="68" t="n"/>
      <c r="B41" s="5" t="inlineStr">
        <is>
          <t xml:space="preserve">      Audit Fees &amp; Non-Operating</t>
        </is>
      </c>
      <c r="C41" s="6">
        <f>SUM('Monthly P&amp;L'!C27:E27)</f>
        <v/>
      </c>
      <c r="D41" s="6">
        <f>SUM('Monthly P&amp;L'!F27:H27)</f>
        <v/>
      </c>
      <c r="E41" s="6">
        <f>SUM('Monthly P&amp;L'!I27:K27)</f>
        <v/>
      </c>
      <c r="F41" s="6">
        <f>SUM('Monthly P&amp;L'!L27:N27)</f>
        <v/>
      </c>
      <c r="G41" s="6">
        <f>SUM(C41:F41)</f>
        <v/>
      </c>
      <c r="H41" s="68">
        <f>IFERROR(G41/$G$9,0)</f>
        <v/>
      </c>
    </row>
    <row r="42" ht="16" customHeight="1" s="63">
      <c r="A42" s="7" t="n"/>
      <c r="B42" s="8" t="inlineStr">
        <is>
          <t xml:space="preserve">      Other G&amp;A (bank fees, merchandise, other)</t>
        </is>
      </c>
      <c r="C42" s="9">
        <f>SUM('Monthly P&amp;L'!C28:E28)</f>
        <v/>
      </c>
      <c r="D42" s="9">
        <f>SUM('Monthly P&amp;L'!F28:H28)</f>
        <v/>
      </c>
      <c r="E42" s="9">
        <f>SUM('Monthly P&amp;L'!I28:K28)</f>
        <v/>
      </c>
      <c r="F42" s="9">
        <f>SUM('Monthly P&amp;L'!L28:N28)</f>
        <v/>
      </c>
      <c r="G42" s="9">
        <f>SUM(C42:F42)</f>
        <v/>
      </c>
      <c r="H42" s="7">
        <f>IFERROR(G42/$G$9,0)</f>
        <v/>
      </c>
    </row>
    <row r="43" ht="16" customHeight="1" s="63">
      <c r="A43" s="10" t="n"/>
      <c r="B43" s="11" t="inlineStr">
        <is>
          <t xml:space="preserve">  Total G&amp;A</t>
        </is>
      </c>
      <c r="C43" s="12">
        <f>SUM(C38:C42)</f>
        <v/>
      </c>
      <c r="D43" s="12">
        <f>SUM(D38:D42)</f>
        <v/>
      </c>
      <c r="E43" s="12">
        <f>SUM(E38:E42)</f>
        <v/>
      </c>
      <c r="F43" s="12">
        <f>SUM(F38:F42)</f>
        <v/>
      </c>
      <c r="G43" s="12">
        <f>SUM(G38:G42)</f>
        <v/>
      </c>
      <c r="H43" s="10">
        <f>IFERROR(G43/$G$9,0)</f>
        <v/>
      </c>
    </row>
    <row r="44" ht="5" customHeight="1" s="63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 ht="16" customHeight="1" s="63">
      <c r="A45" s="10" t="n"/>
      <c r="B45" s="11" t="inlineStr">
        <is>
          <t>TOTAL OPERATING EXPENSES</t>
        </is>
      </c>
      <c r="C45" s="12">
        <f>SUM(C29,C35,C43)</f>
        <v/>
      </c>
      <c r="D45" s="12">
        <f>SUM(D29,D35,D43)</f>
        <v/>
      </c>
      <c r="E45" s="12">
        <f>SUM(E29,E35,E43)</f>
        <v/>
      </c>
      <c r="F45" s="12">
        <f>SUM(F29,F35,F43)</f>
        <v/>
      </c>
      <c r="G45" s="12">
        <f>SUM(G29,G35,G43)</f>
        <v/>
      </c>
      <c r="H45" s="10">
        <f>IFERROR(G45/$G$9,0)</f>
        <v/>
      </c>
    </row>
    <row r="46" ht="5" customHeight="1" s="63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 ht="18" customHeight="1" s="63">
      <c r="A47" s="15" t="n"/>
      <c r="B47" s="16" t="inlineStr">
        <is>
          <t>OPERATING PROFIT / (LOSS)</t>
        </is>
      </c>
      <c r="C47" s="17">
        <f>C20-C45</f>
        <v/>
      </c>
      <c r="D47" s="17">
        <f>D20-D45</f>
        <v/>
      </c>
      <c r="E47" s="17">
        <f>E20-E45</f>
        <v/>
      </c>
      <c r="F47" s="17">
        <f>F20-F45</f>
        <v/>
      </c>
      <c r="G47" s="17">
        <f>SUM(C47:F47)</f>
        <v/>
      </c>
      <c r="H47" s="15">
        <f>IFERROR(G47/$G$9,0)</f>
        <v/>
      </c>
    </row>
    <row r="48" ht="16" customHeight="1" s="63">
      <c r="A48" s="7" t="n"/>
      <c r="B48" s="25" t="inlineStr">
        <is>
          <t xml:space="preserve">  Net Margin %</t>
        </is>
      </c>
      <c r="C48" s="26">
        <f>IFERROR(C47/C9,0)</f>
        <v/>
      </c>
      <c r="D48" s="26">
        <f>IFERROR(D47/D9,0)</f>
        <v/>
      </c>
      <c r="E48" s="26">
        <f>IFERROR(E47/E9,0)</f>
        <v/>
      </c>
      <c r="F48" s="26">
        <f>IFERROR(F47/F9,0)</f>
        <v/>
      </c>
      <c r="G48" s="26">
        <f>IFERROR(G47/G9,0)</f>
        <v/>
      </c>
      <c r="H48" s="7" t="n"/>
    </row>
    <row r="49" ht="5" customHeight="1" s="63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1" ht="20" customHeight="1" s="63">
      <c r="B51" s="69" t="inlineStr">
        <is>
          <t>KEY METRICS SUMMARY</t>
        </is>
      </c>
    </row>
    <row r="52" ht="15" customHeight="1" s="63">
      <c r="A52" s="68" t="n"/>
      <c r="B52" s="27" t="inlineStr">
        <is>
          <t>Gross Margin (FY)</t>
        </is>
      </c>
      <c r="C52" s="28">
        <f>TEXT(G21,"0.0%")</f>
        <v/>
      </c>
      <c r="D52" s="67" t="inlineStr">
        <is>
          <t>FY gross margin based on automated revenue and COGS roll-ups.</t>
        </is>
      </c>
    </row>
    <row r="53" ht="15" customHeight="1" s="63">
      <c r="A53" s="65" t="n"/>
      <c r="B53" s="30" t="inlineStr">
        <is>
          <t>Peak Quarter Gross Margin</t>
        </is>
      </c>
      <c r="C53" s="31">
        <f>TEXT(MAX(C21:F21),"0.0%")</f>
        <v/>
      </c>
      <c r="D53" s="64" t="inlineStr">
        <is>
          <t>Highest quarterly gross margin from the generated quarterly view.</t>
        </is>
      </c>
    </row>
    <row r="54" ht="15" customHeight="1" s="63">
      <c r="A54" s="68" t="n"/>
      <c r="B54" s="27" t="inlineStr">
        <is>
          <t>Monthly OpEx Run-Rate</t>
        </is>
      </c>
      <c r="C54" s="28">
        <f>TEXT(AVERAGE('Monthly P&amp;L'!I30:K30),"₹#,##0")</f>
        <v/>
      </c>
      <c r="D54" s="67" t="inlineStr">
        <is>
          <t>Run-rate uses Oct 2025, Nov 2025, Dec 2025.</t>
        </is>
      </c>
    </row>
    <row r="55" ht="15" customHeight="1" s="63">
      <c r="A55" s="65" t="n"/>
      <c r="B55" s="30" t="inlineStr">
        <is>
          <t>Monthly Gross Burn (run-rate)</t>
        </is>
      </c>
      <c r="C55" s="31">
        <f>TEXT(AVERAGE('Monthly P&amp;L'!I10:K10)+AVERAGE('Monthly P&amp;L'!I30:K30),"₹#,##0")</f>
        <v/>
      </c>
      <c r="D55" s="64" t="inlineStr">
        <is>
          <t>Gross burn is average monthly COGS plus average monthly operating expense.</t>
        </is>
      </c>
    </row>
    <row r="56" ht="15" customHeight="1" s="63">
      <c r="A56" s="68" t="n"/>
      <c r="B56" s="27" t="inlineStr">
        <is>
          <t>Monthly Net (run-rate)</t>
        </is>
      </c>
      <c r="C56" s="28">
        <f>TEXT(AVERAGE('Monthly P&amp;L'!I31:K31),"₹#,##0")</f>
        <v/>
      </c>
      <c r="D56" s="67" t="inlineStr">
        <is>
          <t>Monthly net run-rate excludes one-time items only through the chosen run-rate months.</t>
        </is>
      </c>
    </row>
    <row r="57" ht="15" customHeight="1" s="63">
      <c r="A57" s="68" t="n"/>
      <c r="B57" s="27" t="inlineStr">
        <is>
          <t>Revenue per Delivery FTE</t>
        </is>
      </c>
      <c r="C57" s="28">
        <f>TEXT(IFERROR(G9/MAX(COUNTA('COGS Allocation Working'!B4:B9),1),0),"₹#,##0")</f>
        <v/>
      </c>
      <c r="D57" s="67" t="inlineStr">
        <is>
          <t>Simple revenue-per-delivery-head view using the named delivery team rows in the allocation sheet.</t>
        </is>
      </c>
    </row>
    <row r="58" ht="15" customHeight="1" s="63">
      <c r="A58" s="65" t="n"/>
      <c r="B58" s="30" t="inlineStr">
        <is>
          <t>Total People Cost (FY)</t>
        </is>
      </c>
      <c r="C58" s="31">
        <f>TEXT(SUM(G12:G15,G25,G32),"₹#,##0")</f>
        <v/>
      </c>
      <c r="D58" s="64" t="inlineStr">
        <is>
          <t>People cost view includes delivery people cost, Ramki S&amp;M, and R&amp;D salaries.</t>
        </is>
      </c>
    </row>
    <row r="59" ht="15" customHeight="1" s="63">
      <c r="A59" s="68" t="n"/>
      <c r="B59" s="27" t="inlineStr">
        <is>
          <t>Closing Cash (Mar 31)</t>
        </is>
      </c>
      <c r="C59" s="28" t="inlineStr">
        <is>
          <t>-</t>
        </is>
      </c>
      <c r="D59" s="67" t="inlineStr">
        <is>
          <t>Closing cash is left blank until balance-sheet or bank balance data is added to the MIS pipeline.</t>
        </is>
      </c>
      <c r="J59">
        <f>52000000+8000000</f>
        <v/>
      </c>
    </row>
    <row r="60" ht="15" customHeight="1" s="63">
      <c r="A60" s="65" t="n"/>
      <c r="B60" s="30" t="inlineStr">
        <is>
          <t>Cash Runway (OpEx only)</t>
        </is>
      </c>
      <c r="C60" s="31" t="inlineStr">
        <is>
          <t>-</t>
        </is>
      </c>
      <c r="D60" s="64" t="inlineStr">
        <is>
          <t>Cash runway is left blank until cash balances are sourced automatically.</t>
        </is>
      </c>
    </row>
    <row r="62" ht="13" customHeight="1" s="63">
      <c r="B62" s="62" t="inlineStr">
        <is>
          <t>⚑ Bonus review: ₹0 identified against the MIS note-tracking rules. One-time bonus items remain visible in P&amp;L and are excluded only from run-rate interpretation.</t>
        </is>
      </c>
    </row>
    <row r="63" ht="13" customHeight="1" s="63">
      <c r="B63" s="62" t="inlineStr">
        <is>
          <t>⚑ One-time expense review: ₹0 flagged from source descriptions and notes.</t>
        </is>
      </c>
    </row>
    <row r="64" ht="13" customHeight="1" s="63">
      <c r="B64" s="62" t="inlineStr">
        <is>
          <t>★ BSM provision watchlist: ₹0 flagged through configured MIS keyword rules.</t>
        </is>
      </c>
    </row>
    <row r="65" ht="13" customHeight="1" s="63">
      <c r="B65" s="62" t="inlineStr">
        <is>
          <t xml:space="preserve">     TechM receivable watchlist: ₹1.0L tagged from invoice metadata for follow-up.</t>
        </is>
      </c>
    </row>
    <row r="66" ht="13" customHeight="1" s="63">
      <c r="B66" s="62" t="inlineStr">
        <is>
          <t xml:space="preserve">     Ramki assumption applied at $12,500/month with 100% S&amp;M Apr-Aug and 50% COGS / 50% S&amp;M from Sep onward. Generated annual Ramki cost: ₹1.35 Cr.</t>
        </is>
      </c>
    </row>
    <row r="67" ht="13" customHeight="1" s="63">
      <c r="B67" s="62" t="inlineStr">
        <is>
          <t xml:space="preserve">     Workbook generated from Zoho/BigQuery detail rows. Source counts included in this run: 2 invoices, 2 bills, 1 journals.</t>
        </is>
      </c>
    </row>
  </sheetData>
  <mergeCells count="18">
    <mergeCell ref="D60:H60"/>
    <mergeCell ref="D59:H59"/>
    <mergeCell ref="D52:H52"/>
    <mergeCell ref="D53:H53"/>
    <mergeCell ref="B66:H66"/>
    <mergeCell ref="D56:H56"/>
    <mergeCell ref="B1:H1"/>
    <mergeCell ref="D55:H55"/>
    <mergeCell ref="D57:H57"/>
    <mergeCell ref="B65:H65"/>
    <mergeCell ref="D54:H54"/>
    <mergeCell ref="B62:H62"/>
    <mergeCell ref="B2:H2"/>
    <mergeCell ref="B64:H64"/>
    <mergeCell ref="B51:H51"/>
    <mergeCell ref="D58:H58"/>
    <mergeCell ref="B67:H67"/>
    <mergeCell ref="B63:H63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63" min="1" max="1"/>
    <col width="36" customWidth="1" style="63" min="2" max="2"/>
    <col width="11" customWidth="1" style="63" min="3" max="15"/>
  </cols>
  <sheetData>
    <row r="1" ht="24" customHeight="1" s="63">
      <c r="B1" s="71" t="inlineStr">
        <is>
          <t>Monthly P&amp;L Detail  |  FY 2025-26  |  Apr 2025 – Mar 2026  |  Automated from Zoho + BigQuery</t>
        </is>
      </c>
    </row>
    <row r="3" ht="20" customHeight="1" s="63">
      <c r="B3" s="32" t="inlineStr">
        <is>
          <t>Line Item</t>
        </is>
      </c>
      <c r="C3" s="33" t="inlineStr">
        <is>
          <t>Apr</t>
        </is>
      </c>
      <c r="D3" s="33" t="inlineStr">
        <is>
          <t>May</t>
        </is>
      </c>
      <c r="E3" s="33" t="inlineStr">
        <is>
          <t>Jun</t>
        </is>
      </c>
      <c r="F3" s="33" t="inlineStr">
        <is>
          <t>Jul</t>
        </is>
      </c>
      <c r="G3" s="33" t="inlineStr">
        <is>
          <t>Aug</t>
        </is>
      </c>
      <c r="H3" s="33" t="inlineStr">
        <is>
          <t>Sep</t>
        </is>
      </c>
      <c r="I3" s="33" t="inlineStr">
        <is>
          <t>Oct</t>
        </is>
      </c>
      <c r="J3" s="33" t="inlineStr">
        <is>
          <t>Nov</t>
        </is>
      </c>
      <c r="K3" s="33" t="inlineStr">
        <is>
          <t>Dec</t>
        </is>
      </c>
      <c r="L3" s="34" t="inlineStr">
        <is>
          <t>Jan</t>
        </is>
      </c>
      <c r="M3" s="34" t="inlineStr">
        <is>
          <t>Feb</t>
        </is>
      </c>
      <c r="N3" s="34" t="inlineStr">
        <is>
          <t>Mar</t>
        </is>
      </c>
    </row>
    <row r="4" ht="18" customHeight="1" s="63">
      <c r="A4" s="15" t="n"/>
      <c r="B4" s="35" t="inlineStr">
        <is>
          <t>REVENUE</t>
        </is>
      </c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 ht="14" customHeight="1" s="63">
      <c r="A5" s="68" t="n"/>
      <c r="B5" s="5" t="inlineStr">
        <is>
          <t>Tech Mahindra</t>
        </is>
      </c>
      <c r="C5" s="36" t="n">
        <v>100000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0</v>
      </c>
      <c r="M5" s="36" t="n">
        <v>0</v>
      </c>
      <c r="N5" s="36" t="n">
        <v>0</v>
      </c>
    </row>
    <row r="6" ht="14" customHeight="1" s="63">
      <c r="A6" s="68" t="n"/>
      <c r="B6" s="5" t="inlineStr">
        <is>
          <t>BSM Revenue</t>
        </is>
      </c>
      <c r="C6" s="36" t="n">
        <v>0</v>
      </c>
      <c r="D6" s="36" t="n">
        <v>50000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</row>
    <row r="7" ht="14" customHeight="1" s="63">
      <c r="A7" s="68" t="n"/>
      <c r="B7" s="5" t="inlineStr">
        <is>
          <t>FD Interest</t>
        </is>
      </c>
      <c r="C7" s="36" t="n">
        <v>5000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</row>
    <row r="8" ht="14" customHeight="1" s="63">
      <c r="A8" s="10" t="n"/>
      <c r="B8" s="11" t="inlineStr">
        <is>
          <t>TOTAL REVENUE</t>
        </is>
      </c>
      <c r="C8" s="37">
        <f>SUM(C5:C7)</f>
        <v/>
      </c>
      <c r="D8" s="37">
        <f>SUM(D5:D7)</f>
        <v/>
      </c>
      <c r="E8" s="37">
        <f>SUM(E5:E7)</f>
        <v/>
      </c>
      <c r="F8" s="37">
        <f>SUM(F5:F7)</f>
        <v/>
      </c>
      <c r="G8" s="37">
        <f>SUM(G5:G7)</f>
        <v/>
      </c>
      <c r="H8" s="37">
        <f>SUM(H5:H7)</f>
        <v/>
      </c>
      <c r="I8" s="37">
        <f>SUM(I5:I7)</f>
        <v/>
      </c>
      <c r="J8" s="37">
        <f>SUM(J5:J7)</f>
        <v/>
      </c>
      <c r="K8" s="37">
        <f>SUM(K5:K7)</f>
        <v/>
      </c>
      <c r="L8" s="37">
        <f>SUM(L5:L7)</f>
        <v/>
      </c>
      <c r="M8" s="37">
        <f>SUM(M5:M7)</f>
        <v/>
      </c>
      <c r="N8" s="37">
        <f>SUM(N5:N7)</f>
        <v/>
      </c>
    </row>
    <row r="9" ht="18" customHeight="1" s="63">
      <c r="A9" s="15" t="n"/>
      <c r="B9" s="35" t="inlineStr">
        <is>
          <t>COGS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 ht="14" customHeight="1" s="63">
      <c r="A10" s="38" t="n"/>
      <c r="B10" s="39" t="inlineStr">
        <is>
          <t>COGS Total</t>
        </is>
      </c>
      <c r="C10" s="40">
        <f>'COGS Allocation Working'!E15+25800.0</f>
        <v/>
      </c>
      <c r="D10" s="40">
        <f>'COGS Allocation Working'!F15+25800.0</f>
        <v/>
      </c>
      <c r="E10" s="40">
        <f>'COGS Allocation Working'!G15+25800.0</f>
        <v/>
      </c>
      <c r="F10" s="40">
        <f>'COGS Allocation Working'!H15+25800.0</f>
        <v/>
      </c>
      <c r="G10" s="40">
        <f>'COGS Allocation Working'!I15+25800.0</f>
        <v/>
      </c>
      <c r="H10" s="40">
        <f>'COGS Allocation Working'!J15+25800.0</f>
        <v/>
      </c>
      <c r="I10" s="40">
        <f>'COGS Allocation Working'!K15+25800.0</f>
        <v/>
      </c>
      <c r="J10" s="40">
        <f>'COGS Allocation Working'!L15+25800.0</f>
        <v/>
      </c>
      <c r="K10" s="40">
        <f>'COGS Allocation Working'!M15+25800.0</f>
        <v/>
      </c>
      <c r="L10" s="40">
        <f>'COGS Allocation Working'!N15+25800.0</f>
        <v/>
      </c>
      <c r="M10" s="40">
        <f>'COGS Allocation Working'!O15+25800.0</f>
        <v/>
      </c>
      <c r="N10" s="40">
        <f>'COGS Allocation Working'!P15+25800.0</f>
        <v/>
      </c>
    </row>
    <row r="11" ht="14" customHeight="1" s="63">
      <c r="A11" s="10" t="n"/>
      <c r="B11" s="11" t="inlineStr">
        <is>
          <t>GROSS PROFIT</t>
        </is>
      </c>
      <c r="C11" s="37">
        <f>C8-C10</f>
        <v/>
      </c>
      <c r="D11" s="37">
        <f>D8-D10</f>
        <v/>
      </c>
      <c r="E11" s="37">
        <f>E8-E10</f>
        <v/>
      </c>
      <c r="F11" s="37">
        <f>F8-F10</f>
        <v/>
      </c>
      <c r="G11" s="37">
        <f>G8-G10</f>
        <v/>
      </c>
      <c r="H11" s="37">
        <f>H8-H10</f>
        <v/>
      </c>
      <c r="I11" s="37">
        <f>I8-I10</f>
        <v/>
      </c>
      <c r="J11" s="37">
        <f>J8-J10</f>
        <v/>
      </c>
      <c r="K11" s="37">
        <f>K8-K10</f>
        <v/>
      </c>
      <c r="L11" s="37">
        <f>L8-L10</f>
        <v/>
      </c>
      <c r="M11" s="37">
        <f>M8-M10</f>
        <v/>
      </c>
      <c r="N11" s="37">
        <f>N8-N10</f>
        <v/>
      </c>
    </row>
    <row r="12" ht="18" customHeight="1" s="63">
      <c r="A12" s="15" t="n"/>
      <c r="B12" s="35" t="inlineStr">
        <is>
          <t>S&amp;M</t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 ht="14" customHeight="1" s="63">
      <c r="A13" s="19" t="n"/>
      <c r="B13" s="41" t="inlineStr">
        <is>
          <t>Ramki S&amp;M</t>
        </is>
      </c>
      <c r="C13" s="42" t="n">
        <v>1125000</v>
      </c>
      <c r="D13" s="42" t="n">
        <v>1125000</v>
      </c>
      <c r="E13" s="42" t="n">
        <v>1125000</v>
      </c>
      <c r="F13" s="42" t="n">
        <v>1125000</v>
      </c>
      <c r="G13" s="42" t="n">
        <v>1125000</v>
      </c>
      <c r="H13" s="42" t="n">
        <v>562500</v>
      </c>
      <c r="I13" s="42" t="n">
        <v>562500</v>
      </c>
      <c r="J13" s="42" t="n">
        <v>562500</v>
      </c>
      <c r="K13" s="42" t="n">
        <v>562500</v>
      </c>
      <c r="L13" s="42" t="n">
        <v>562500</v>
      </c>
      <c r="M13" s="42" t="n">
        <v>562500</v>
      </c>
      <c r="N13" s="42" t="n">
        <v>562500</v>
      </c>
    </row>
    <row r="14" ht="14" customHeight="1" s="63">
      <c r="A14" s="19" t="n"/>
      <c r="B14" s="41" t="inlineStr">
        <is>
          <t>Advertising</t>
        </is>
      </c>
      <c r="C14" s="42" t="n">
        <v>0</v>
      </c>
      <c r="D14" s="42" t="n">
        <v>0</v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  <c r="K14" s="42" t="n">
        <v>0</v>
      </c>
      <c r="L14" s="42" t="n">
        <v>0</v>
      </c>
      <c r="M14" s="42" t="n">
        <v>0</v>
      </c>
      <c r="N14" s="42" t="n">
        <v>0</v>
      </c>
    </row>
    <row r="15" ht="14" customHeight="1" s="63">
      <c r="A15" s="19" t="n"/>
      <c r="B15" s="41" t="inlineStr">
        <is>
          <t>Travel</t>
        </is>
      </c>
      <c r="C15" s="42" t="n">
        <v>0</v>
      </c>
      <c r="D15" s="42" t="n">
        <v>0</v>
      </c>
      <c r="E15" s="42" t="n">
        <v>0</v>
      </c>
      <c r="F15" s="42" t="n">
        <v>0</v>
      </c>
      <c r="G15" s="42" t="n">
        <v>0</v>
      </c>
      <c r="H15" s="42" t="n">
        <v>0</v>
      </c>
      <c r="I15" s="42" t="n">
        <v>0</v>
      </c>
      <c r="J15" s="42" t="n">
        <v>0</v>
      </c>
      <c r="K15" s="42" t="n">
        <v>0</v>
      </c>
      <c r="L15" s="42" t="n">
        <v>0</v>
      </c>
      <c r="M15" s="42" t="n">
        <v>0</v>
      </c>
      <c r="N15" s="42" t="n">
        <v>0</v>
      </c>
    </row>
    <row r="16" ht="14" customHeight="1" s="63">
      <c r="A16" s="19" t="n"/>
      <c r="B16" s="41" t="inlineStr">
        <is>
          <t>Meals</t>
        </is>
      </c>
      <c r="C16" s="42" t="n">
        <v>0</v>
      </c>
      <c r="D16" s="42" t="n">
        <v>0</v>
      </c>
      <c r="E16" s="42" t="n">
        <v>0</v>
      </c>
      <c r="F16" s="42" t="n">
        <v>0</v>
      </c>
      <c r="G16" s="42" t="n">
        <v>0</v>
      </c>
      <c r="H16" s="42" t="n">
        <v>0</v>
      </c>
      <c r="I16" s="42" t="n">
        <v>0</v>
      </c>
      <c r="J16" s="42" t="n">
        <v>0</v>
      </c>
      <c r="K16" s="42" t="n">
        <v>0</v>
      </c>
      <c r="L16" s="42" t="n">
        <v>0</v>
      </c>
      <c r="M16" s="42" t="n">
        <v>0</v>
      </c>
      <c r="N16" s="42" t="n">
        <v>0</v>
      </c>
    </row>
    <row r="17" ht="14" customHeight="1" s="63">
      <c r="A17" s="19" t="n"/>
      <c r="B17" s="20" t="inlineStr">
        <is>
          <t>S&amp;M Total</t>
        </is>
      </c>
      <c r="C17" s="43">
        <f>SUM(C13:C16)</f>
        <v/>
      </c>
      <c r="D17" s="43">
        <f>SUM(D13:D16)</f>
        <v/>
      </c>
      <c r="E17" s="43">
        <f>SUM(E13:E16)</f>
        <v/>
      </c>
      <c r="F17" s="43">
        <f>SUM(F13:F16)</f>
        <v/>
      </c>
      <c r="G17" s="43">
        <f>SUM(G13:G16)</f>
        <v/>
      </c>
      <c r="H17" s="43">
        <f>SUM(H13:H16)</f>
        <v/>
      </c>
      <c r="I17" s="43">
        <f>SUM(I13:I16)</f>
        <v/>
      </c>
      <c r="J17" s="43">
        <f>SUM(J13:J16)</f>
        <v/>
      </c>
      <c r="K17" s="43">
        <f>SUM(K13:K16)</f>
        <v/>
      </c>
      <c r="L17" s="43">
        <f>SUM(L13:L16)</f>
        <v/>
      </c>
      <c r="M17" s="43">
        <f>SUM(M13:M16)</f>
        <v/>
      </c>
      <c r="N17" s="43">
        <f>SUM(N13:N16)</f>
        <v/>
      </c>
    </row>
    <row r="18" ht="18" customHeight="1" s="63">
      <c r="A18" s="15" t="n"/>
      <c r="B18" s="35" t="inlineStr">
        <is>
          <t>R&amp;D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 ht="14" customHeight="1" s="63">
      <c r="A19" s="21" t="n"/>
      <c r="B19" s="44" t="inlineStr">
        <is>
          <t>R&amp;D Salaries</t>
        </is>
      </c>
      <c r="C19" s="45" t="n">
        <v>0</v>
      </c>
      <c r="D19" s="45" t="n">
        <v>0</v>
      </c>
      <c r="E19" s="45" t="n">
        <v>0</v>
      </c>
      <c r="F19" s="45" t="n">
        <v>0</v>
      </c>
      <c r="G19" s="45" t="n">
        <v>0</v>
      </c>
      <c r="H19" s="45" t="n">
        <v>0</v>
      </c>
      <c r="I19" s="45" t="n">
        <v>0</v>
      </c>
      <c r="J19" s="45" t="n">
        <v>0</v>
      </c>
      <c r="K19" s="45" t="n">
        <v>0</v>
      </c>
      <c r="L19" s="45" t="n">
        <v>0</v>
      </c>
      <c r="M19" s="45" t="n">
        <v>0</v>
      </c>
      <c r="N19" s="45" t="n">
        <v>0</v>
      </c>
    </row>
    <row r="20" ht="14" customHeight="1" s="63">
      <c r="A20" s="21" t="n"/>
      <c r="B20" s="44" t="inlineStr">
        <is>
          <t>Consultant Exp.</t>
        </is>
      </c>
      <c r="C20" s="45" t="n">
        <v>0</v>
      </c>
      <c r="D20" s="45" t="n">
        <v>0</v>
      </c>
      <c r="E20" s="45" t="n">
        <v>0</v>
      </c>
      <c r="F20" s="45" t="n">
        <v>0</v>
      </c>
      <c r="G20" s="45" t="n">
        <v>0</v>
      </c>
      <c r="H20" s="45" t="n">
        <v>0</v>
      </c>
      <c r="I20" s="45" t="n">
        <v>0</v>
      </c>
      <c r="J20" s="45" t="n">
        <v>0</v>
      </c>
      <c r="K20" s="45" t="n">
        <v>0</v>
      </c>
      <c r="L20" s="45" t="n">
        <v>0</v>
      </c>
      <c r="M20" s="45" t="n">
        <v>0</v>
      </c>
      <c r="N20" s="45" t="n">
        <v>0</v>
      </c>
    </row>
    <row r="21" ht="14" customHeight="1" s="63">
      <c r="A21" s="21" t="n"/>
      <c r="B21" s="44" t="inlineStr">
        <is>
          <t>Software Subs</t>
        </is>
      </c>
      <c r="C21" s="45" t="n">
        <v>0</v>
      </c>
      <c r="D21" s="45" t="n">
        <v>0</v>
      </c>
      <c r="E21" s="45" t="n">
        <v>0</v>
      </c>
      <c r="F21" s="45" t="n">
        <v>0</v>
      </c>
      <c r="G21" s="45" t="n">
        <v>0</v>
      </c>
      <c r="H21" s="45" t="n">
        <v>0</v>
      </c>
      <c r="I21" s="45" t="n">
        <v>0</v>
      </c>
      <c r="J21" s="45" t="n">
        <v>0</v>
      </c>
      <c r="K21" s="45" t="n">
        <v>0</v>
      </c>
      <c r="L21" s="45" t="n">
        <v>0</v>
      </c>
      <c r="M21" s="45" t="n">
        <v>0</v>
      </c>
      <c r="N21" s="45" t="n">
        <v>0</v>
      </c>
    </row>
    <row r="22" ht="14" customHeight="1" s="63">
      <c r="A22" s="21" t="n"/>
      <c r="B22" s="22" t="inlineStr">
        <is>
          <t>R&amp;D Total</t>
        </is>
      </c>
      <c r="C22" s="46">
        <f>SUM(C19:C21)</f>
        <v/>
      </c>
      <c r="D22" s="46">
        <f>SUM(D19:D21)</f>
        <v/>
      </c>
      <c r="E22" s="46">
        <f>SUM(E19:E21)</f>
        <v/>
      </c>
      <c r="F22" s="46">
        <f>SUM(F19:F21)</f>
        <v/>
      </c>
      <c r="G22" s="46">
        <f>SUM(G19:G21)</f>
        <v/>
      </c>
      <c r="H22" s="46">
        <f>SUM(H19:H21)</f>
        <v/>
      </c>
      <c r="I22" s="46">
        <f>SUM(I19:I21)</f>
        <v/>
      </c>
      <c r="J22" s="46">
        <f>SUM(J19:J21)</f>
        <v/>
      </c>
      <c r="K22" s="46">
        <f>SUM(K19:K21)</f>
        <v/>
      </c>
      <c r="L22" s="46">
        <f>SUM(L19:L21)</f>
        <v/>
      </c>
      <c r="M22" s="46">
        <f>SUM(M19:M21)</f>
        <v/>
      </c>
      <c r="N22" s="46">
        <f>SUM(N19:N21)</f>
        <v/>
      </c>
    </row>
    <row r="23" ht="18" customHeight="1" s="63">
      <c r="A23" s="15" t="n"/>
      <c r="B23" s="35" t="inlineStr">
        <is>
          <t>G&amp;A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 ht="14" customHeight="1" s="63">
      <c r="A24" s="23" t="n"/>
      <c r="B24" s="47" t="inlineStr">
        <is>
          <t>Rent</t>
        </is>
      </c>
      <c r="C24" s="48" t="n">
        <v>0</v>
      </c>
      <c r="D24" s="48" t="n">
        <v>20000</v>
      </c>
      <c r="E24" s="48" t="n">
        <v>0</v>
      </c>
      <c r="F24" s="48" t="n">
        <v>0</v>
      </c>
      <c r="G24" s="48" t="n">
        <v>0</v>
      </c>
      <c r="H24" s="48" t="n">
        <v>0</v>
      </c>
      <c r="I24" s="48" t="n">
        <v>0</v>
      </c>
      <c r="J24" s="48" t="n">
        <v>0</v>
      </c>
      <c r="K24" s="48" t="n">
        <v>0</v>
      </c>
      <c r="L24" s="48" t="n">
        <v>0</v>
      </c>
      <c r="M24" s="48" t="n">
        <v>0</v>
      </c>
      <c r="N24" s="48" t="n">
        <v>0</v>
      </c>
    </row>
    <row r="25" ht="14" customHeight="1" s="63">
      <c r="A25" s="23" t="n"/>
      <c r="B25" s="47" t="inlineStr">
        <is>
          <t>IT &amp; Internet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48" t="n">
        <v>0</v>
      </c>
    </row>
    <row r="26" ht="14" customHeight="1" s="63">
      <c r="A26" s="23" t="n"/>
      <c r="B26" s="47" t="inlineStr">
        <is>
          <t>Legal</t>
        </is>
      </c>
      <c r="C26" s="48" t="n">
        <v>0</v>
      </c>
      <c r="D26" s="48" t="n">
        <v>0</v>
      </c>
      <c r="E26" s="48" t="n">
        <v>0</v>
      </c>
      <c r="F26" s="48" t="n">
        <v>0</v>
      </c>
      <c r="G26" s="48" t="n">
        <v>0</v>
      </c>
      <c r="H26" s="48" t="n">
        <v>0</v>
      </c>
      <c r="I26" s="48" t="n">
        <v>0</v>
      </c>
      <c r="J26" s="48" t="n">
        <v>0</v>
      </c>
      <c r="K26" s="48" t="n">
        <v>0</v>
      </c>
      <c r="L26" s="48" t="n">
        <v>0</v>
      </c>
      <c r="M26" s="48" t="n">
        <v>0</v>
      </c>
      <c r="N26" s="48" t="n">
        <v>0</v>
      </c>
    </row>
    <row r="27" ht="14" customHeight="1" s="63">
      <c r="A27" s="23" t="n"/>
      <c r="B27" s="47" t="inlineStr">
        <is>
          <t>Audit &amp; Non-Op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48" t="n">
        <v>0</v>
      </c>
      <c r="H27" s="48" t="n">
        <v>0</v>
      </c>
      <c r="I27" s="48" t="n">
        <v>0</v>
      </c>
      <c r="J27" s="48" t="n">
        <v>0</v>
      </c>
      <c r="K27" s="48" t="n">
        <v>0</v>
      </c>
      <c r="L27" s="48" t="n">
        <v>0</v>
      </c>
      <c r="M27" s="48" t="n">
        <v>0</v>
      </c>
      <c r="N27" s="48" t="n">
        <v>0</v>
      </c>
    </row>
    <row r="28" ht="14" customHeight="1" s="63">
      <c r="A28" s="23" t="n"/>
      <c r="B28" s="47" t="inlineStr">
        <is>
          <t>Other G&amp;A</t>
        </is>
      </c>
      <c r="C28" s="48" t="n">
        <v>0</v>
      </c>
      <c r="D28" s="48" t="n">
        <v>0</v>
      </c>
      <c r="E28" s="48" t="n">
        <v>0</v>
      </c>
      <c r="F28" s="48" t="n">
        <v>0</v>
      </c>
      <c r="G28" s="48" t="n">
        <v>0</v>
      </c>
      <c r="H28" s="48" t="n">
        <v>0</v>
      </c>
      <c r="I28" s="48" t="n">
        <v>0</v>
      </c>
      <c r="J28" s="48" t="n">
        <v>0</v>
      </c>
      <c r="K28" s="48" t="n">
        <v>0</v>
      </c>
      <c r="L28" s="48" t="n">
        <v>0</v>
      </c>
      <c r="M28" s="48" t="n">
        <v>0</v>
      </c>
      <c r="N28" s="48" t="n">
        <v>0</v>
      </c>
    </row>
    <row r="29" ht="14" customHeight="1" s="63">
      <c r="A29" s="23" t="n"/>
      <c r="B29" s="24" t="inlineStr">
        <is>
          <t>G&amp;A Total</t>
        </is>
      </c>
      <c r="C29" s="49">
        <f>SUM(C24:C28)</f>
        <v/>
      </c>
      <c r="D29" s="49">
        <f>SUM(D24:D28)</f>
        <v/>
      </c>
      <c r="E29" s="49">
        <f>SUM(E24:E28)</f>
        <v/>
      </c>
      <c r="F29" s="49">
        <f>SUM(F24:F28)</f>
        <v/>
      </c>
      <c r="G29" s="49">
        <f>SUM(G24:G28)</f>
        <v/>
      </c>
      <c r="H29" s="49">
        <f>SUM(H24:H28)</f>
        <v/>
      </c>
      <c r="I29" s="49">
        <f>SUM(I24:I28)</f>
        <v/>
      </c>
      <c r="J29" s="49">
        <f>SUM(J24:J28)</f>
        <v/>
      </c>
      <c r="K29" s="49">
        <f>SUM(K24:K28)</f>
        <v/>
      </c>
      <c r="L29" s="49">
        <f>SUM(L24:L28)</f>
        <v/>
      </c>
      <c r="M29" s="49">
        <f>SUM(M24:M28)</f>
        <v/>
      </c>
      <c r="N29" s="49">
        <f>SUM(N24:N28)</f>
        <v/>
      </c>
    </row>
    <row r="30" ht="14" customHeight="1" s="63">
      <c r="A30" s="13" t="n"/>
      <c r="B30" s="50" t="inlineStr">
        <is>
          <t>TOTAL OPEX</t>
        </is>
      </c>
      <c r="C30" s="51">
        <f>SUM(C17,C22,C29)</f>
        <v/>
      </c>
      <c r="D30" s="51">
        <f>SUM(D17,D22,D29)</f>
        <v/>
      </c>
      <c r="E30" s="51">
        <f>SUM(E17,E22,E29)</f>
        <v/>
      </c>
      <c r="F30" s="51">
        <f>SUM(F17,F22,F29)</f>
        <v/>
      </c>
      <c r="G30" s="51">
        <f>SUM(G17,G22,G29)</f>
        <v/>
      </c>
      <c r="H30" s="51">
        <f>SUM(H17,H22,H29)</f>
        <v/>
      </c>
      <c r="I30" s="51">
        <f>SUM(I17,I22,I29)</f>
        <v/>
      </c>
      <c r="J30" s="51">
        <f>SUM(J17,J22,J29)</f>
        <v/>
      </c>
      <c r="K30" s="51">
        <f>SUM(K17,K22,K29)</f>
        <v/>
      </c>
      <c r="L30" s="51">
        <f>SUM(L17,L22,L29)</f>
        <v/>
      </c>
      <c r="M30" s="51">
        <f>SUM(M17,M22,M29)</f>
        <v/>
      </c>
      <c r="N30" s="51">
        <f>SUM(N17,N22,N29)</f>
        <v/>
      </c>
    </row>
    <row r="31" ht="18" customHeight="1" s="63">
      <c r="A31" s="15" t="n"/>
      <c r="B31" s="35" t="inlineStr">
        <is>
          <t>NET PROFIT/(LOSS)</t>
        </is>
      </c>
      <c r="C31" s="52">
        <f>C11-C30</f>
        <v/>
      </c>
      <c r="D31" s="52">
        <f>D11-D30</f>
        <v/>
      </c>
      <c r="E31" s="52">
        <f>E11-E30</f>
        <v/>
      </c>
      <c r="F31" s="52">
        <f>F11-F30</f>
        <v/>
      </c>
      <c r="G31" s="52">
        <f>G11-G30</f>
        <v/>
      </c>
      <c r="H31" s="52">
        <f>H11-H30</f>
        <v/>
      </c>
      <c r="I31" s="52">
        <f>I11-I30</f>
        <v/>
      </c>
      <c r="J31" s="52">
        <f>J11-J30</f>
        <v/>
      </c>
      <c r="K31" s="52">
        <f>K11-K30</f>
        <v/>
      </c>
      <c r="L31" s="52">
        <f>L11-L30</f>
        <v/>
      </c>
      <c r="M31" s="52">
        <f>M11-M30</f>
        <v/>
      </c>
      <c r="N31" s="52">
        <f>N11-N30</f>
        <v/>
      </c>
    </row>
  </sheetData>
  <mergeCells count="1">
    <mergeCell ref="B1:O1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63" min="1" max="1"/>
    <col width="28" customWidth="1" style="63" min="2" max="2"/>
    <col width="10" customWidth="1" style="63" min="3" max="15"/>
  </cols>
  <sheetData>
    <row r="1" ht="24" customHeight="1" s="63">
      <c r="B1" s="73" t="inlineStr">
        <is>
          <t>COGS Allocation Detail  |  Delivery Staff + Vendors  |  TechM COGS from 2025-09  |  BSM delivery from 2025-07</t>
        </is>
      </c>
    </row>
    <row r="3" ht="20" customHeight="1" s="63">
      <c r="A3" s="33" t="n"/>
      <c r="B3" s="33" t="inlineStr">
        <is>
          <t>Person / Vendor</t>
        </is>
      </c>
      <c r="C3" s="33" t="inlineStr">
        <is>
          <t>Allocation %</t>
        </is>
      </c>
      <c r="D3" s="33" t="inlineStr">
        <is>
          <t>Type</t>
        </is>
      </c>
      <c r="E3" s="33" t="inlineStr">
        <is>
          <t>Apr</t>
        </is>
      </c>
      <c r="F3" s="33" t="inlineStr">
        <is>
          <t>May</t>
        </is>
      </c>
      <c r="G3" s="33" t="inlineStr">
        <is>
          <t>Jun</t>
        </is>
      </c>
      <c r="H3" s="33" t="inlineStr">
        <is>
          <t>Jul</t>
        </is>
      </c>
      <c r="I3" s="33" t="inlineStr">
        <is>
          <t>Aug</t>
        </is>
      </c>
      <c r="J3" s="33" t="inlineStr">
        <is>
          <t>Sep</t>
        </is>
      </c>
      <c r="K3" s="33" t="inlineStr">
        <is>
          <t>Oct</t>
        </is>
      </c>
      <c r="L3" s="33" t="inlineStr">
        <is>
          <t>Nov</t>
        </is>
      </c>
      <c r="M3" s="33" t="inlineStr">
        <is>
          <t>Dec</t>
        </is>
      </c>
      <c r="N3" s="33" t="inlineStr">
        <is>
          <t>Jan</t>
        </is>
      </c>
      <c r="O3" s="33" t="inlineStr">
        <is>
          <t>Feb</t>
        </is>
      </c>
      <c r="P3" s="33" t="inlineStr">
        <is>
          <t>Mar</t>
        </is>
      </c>
      <c r="Q3" s="33" t="inlineStr">
        <is>
          <t>FY Total</t>
        </is>
      </c>
    </row>
    <row r="4" ht="20" customHeight="1" s="63">
      <c r="B4" s="53" t="inlineStr">
        <is>
          <t>Parashar (CPO)</t>
        </is>
      </c>
      <c r="C4" s="54" t="inlineStr">
        <is>
          <t>100% TechM (Sep-Mar)
25% BSM (Jul-Aug)</t>
        </is>
      </c>
      <c r="D4" s="55" t="inlineStr">
        <is>
          <t>FTE</t>
        </is>
      </c>
      <c r="E4" s="56" t="n">
        <v>0</v>
      </c>
      <c r="F4" s="56" t="n">
        <v>0</v>
      </c>
      <c r="G4" s="56" t="n">
        <v>0</v>
      </c>
      <c r="H4" s="56" t="n">
        <v>0</v>
      </c>
      <c r="I4" s="56" t="n">
        <v>0</v>
      </c>
      <c r="J4" s="56" t="n">
        <v>0</v>
      </c>
      <c r="K4" s="56" t="n">
        <v>0</v>
      </c>
      <c r="L4" s="56" t="n">
        <v>0</v>
      </c>
      <c r="M4" s="56" t="n">
        <v>0</v>
      </c>
      <c r="N4" s="56" t="n">
        <v>0</v>
      </c>
      <c r="O4" s="56" t="n">
        <v>0</v>
      </c>
      <c r="P4" s="56" t="n">
        <v>0</v>
      </c>
      <c r="Q4" s="56">
        <f>SUM(E4:P4)</f>
        <v/>
      </c>
    </row>
    <row r="5" ht="14" customHeight="1" s="63">
      <c r="B5" s="57" t="inlineStr">
        <is>
          <t>Sangeeth Nair</t>
        </is>
      </c>
      <c r="C5" s="58" t="inlineStr">
        <is>
          <t>100% TechM (Sep-Mar)</t>
        </is>
      </c>
      <c r="D5" s="59" t="inlineStr">
        <is>
          <t>FTE</t>
        </is>
      </c>
      <c r="E5" s="60" t="n">
        <v>0</v>
      </c>
      <c r="F5" s="60" t="n">
        <v>0</v>
      </c>
      <c r="G5" s="60" t="n">
        <v>0</v>
      </c>
      <c r="H5" s="60" t="n">
        <v>0</v>
      </c>
      <c r="I5" s="60" t="n">
        <v>0</v>
      </c>
      <c r="J5" s="60" t="n">
        <v>0</v>
      </c>
      <c r="K5" s="60" t="n">
        <v>0</v>
      </c>
      <c r="L5" s="60" t="n">
        <v>0</v>
      </c>
      <c r="M5" s="60" t="n">
        <v>0</v>
      </c>
      <c r="N5" s="60" t="n">
        <v>0</v>
      </c>
      <c r="O5" s="60" t="n">
        <v>0</v>
      </c>
      <c r="P5" s="60" t="n">
        <v>0</v>
      </c>
      <c r="Q5" s="60">
        <f>SUM(E5:P5)</f>
        <v/>
      </c>
    </row>
    <row r="6" ht="14" customHeight="1" s="63">
      <c r="B6" s="53" t="inlineStr">
        <is>
          <t>Jitin Mangla</t>
        </is>
      </c>
      <c r="C6" s="54" t="inlineStr">
        <is>
          <t>100% TechM (Sep-Mar)</t>
        </is>
      </c>
      <c r="D6" s="55" t="inlineStr">
        <is>
          <t>FTE</t>
        </is>
      </c>
      <c r="E6" s="56" t="n">
        <v>0</v>
      </c>
      <c r="F6" s="56" t="n">
        <v>0</v>
      </c>
      <c r="G6" s="56" t="n">
        <v>0</v>
      </c>
      <c r="H6" s="56" t="n">
        <v>0</v>
      </c>
      <c r="I6" s="56" t="n">
        <v>0</v>
      </c>
      <c r="J6" s="56" t="n">
        <v>0</v>
      </c>
      <c r="K6" s="56" t="n">
        <v>0</v>
      </c>
      <c r="L6" s="56" t="n">
        <v>0</v>
      </c>
      <c r="M6" s="56" t="n">
        <v>0</v>
      </c>
      <c r="N6" s="56" t="n">
        <v>0</v>
      </c>
      <c r="O6" s="56" t="n">
        <v>0</v>
      </c>
      <c r="P6" s="56" t="n">
        <v>0</v>
      </c>
      <c r="Q6" s="56">
        <f>SUM(E6:P6)</f>
        <v/>
      </c>
    </row>
    <row r="7" ht="14" customHeight="1" s="63">
      <c r="B7" s="57" t="inlineStr">
        <is>
          <t>Dipti Tiwari</t>
        </is>
      </c>
      <c r="C7" s="58" t="inlineStr">
        <is>
          <t>100% TechM (Sep-Mar)</t>
        </is>
      </c>
      <c r="D7" s="59" t="inlineStr">
        <is>
          <t>FTE</t>
        </is>
      </c>
      <c r="E7" s="60" t="n">
        <v>0</v>
      </c>
      <c r="F7" s="60" t="n">
        <v>0</v>
      </c>
      <c r="G7" s="60" t="n">
        <v>0</v>
      </c>
      <c r="H7" s="60" t="n">
        <v>0</v>
      </c>
      <c r="I7" s="60" t="n">
        <v>0</v>
      </c>
      <c r="J7" s="60" t="n">
        <v>0</v>
      </c>
      <c r="K7" s="60" t="n">
        <v>0</v>
      </c>
      <c r="L7" s="60" t="n">
        <v>0</v>
      </c>
      <c r="M7" s="60" t="n">
        <v>0</v>
      </c>
      <c r="N7" s="60" t="n">
        <v>0</v>
      </c>
      <c r="O7" s="60" t="n">
        <v>0</v>
      </c>
      <c r="P7" s="60" t="n">
        <v>0</v>
      </c>
      <c r="Q7" s="60">
        <f>SUM(E7:P7)</f>
        <v/>
      </c>
    </row>
    <row r="8" ht="14" customHeight="1" s="63">
      <c r="B8" s="53" t="inlineStr">
        <is>
          <t>Dhanashri Saner</t>
        </is>
      </c>
      <c r="C8" s="54" t="inlineStr">
        <is>
          <t>100% TechM (Sep-Mar)</t>
        </is>
      </c>
      <c r="D8" s="55" t="inlineStr">
        <is>
          <t>FTE</t>
        </is>
      </c>
      <c r="E8" s="56" t="n">
        <v>0</v>
      </c>
      <c r="F8" s="56" t="n">
        <v>0</v>
      </c>
      <c r="G8" s="56" t="n">
        <v>0</v>
      </c>
      <c r="H8" s="56" t="n">
        <v>0</v>
      </c>
      <c r="I8" s="56" t="n">
        <v>0</v>
      </c>
      <c r="J8" s="56" t="n">
        <v>0</v>
      </c>
      <c r="K8" s="56" t="n">
        <v>0</v>
      </c>
      <c r="L8" s="56" t="n">
        <v>0</v>
      </c>
      <c r="M8" s="56" t="n">
        <v>0</v>
      </c>
      <c r="N8" s="56" t="n">
        <v>0</v>
      </c>
      <c r="O8" s="56" t="n">
        <v>0</v>
      </c>
      <c r="P8" s="56" t="n">
        <v>0</v>
      </c>
      <c r="Q8" s="56">
        <f>SUM(E8:P8)</f>
        <v/>
      </c>
    </row>
    <row r="9" ht="14" customHeight="1" s="63">
      <c r="B9" s="57" t="inlineStr">
        <is>
          <t>Pinkesh Sethiya</t>
        </is>
      </c>
      <c r="C9" s="58" t="inlineStr">
        <is>
          <t>100% TechM (Jan-Mar)</t>
        </is>
      </c>
      <c r="D9" s="59" t="inlineStr">
        <is>
          <t>FTE</t>
        </is>
      </c>
      <c r="E9" s="60" t="n">
        <v>0</v>
      </c>
      <c r="F9" s="60" t="n">
        <v>0</v>
      </c>
      <c r="G9" s="60" t="n">
        <v>0</v>
      </c>
      <c r="H9" s="60" t="n">
        <v>0</v>
      </c>
      <c r="I9" s="60" t="n">
        <v>0</v>
      </c>
      <c r="J9" s="60" t="n">
        <v>0</v>
      </c>
      <c r="K9" s="60" t="n">
        <v>0</v>
      </c>
      <c r="L9" s="60" t="n">
        <v>0</v>
      </c>
      <c r="M9" s="60" t="n">
        <v>0</v>
      </c>
      <c r="N9" s="60" t="n">
        <v>0</v>
      </c>
      <c r="O9" s="60" t="n">
        <v>0</v>
      </c>
      <c r="P9" s="60" t="n">
        <v>0</v>
      </c>
      <c r="Q9" s="60">
        <f>SUM(E9:P9)</f>
        <v/>
      </c>
    </row>
    <row r="10" ht="14" customHeight="1" s="63">
      <c r="B10" s="53" t="inlineStr">
        <is>
          <t>Ramki (CEO-US)</t>
        </is>
      </c>
      <c r="C10" s="54" t="inlineStr">
        <is>
          <t>50% COGS (Sep-Mar)</t>
        </is>
      </c>
      <c r="D10" s="55" t="inlineStr">
        <is>
          <t>Consultant</t>
        </is>
      </c>
      <c r="E10" s="56" t="n">
        <v>0</v>
      </c>
      <c r="F10" s="56" t="n">
        <v>0</v>
      </c>
      <c r="G10" s="56" t="n">
        <v>0</v>
      </c>
      <c r="H10" s="56" t="n">
        <v>0</v>
      </c>
      <c r="I10" s="56" t="n">
        <v>0</v>
      </c>
      <c r="J10" s="56" t="n">
        <v>562500</v>
      </c>
      <c r="K10" s="56" t="n">
        <v>562500</v>
      </c>
      <c r="L10" s="56" t="n">
        <v>562500</v>
      </c>
      <c r="M10" s="56" t="n">
        <v>562500</v>
      </c>
      <c r="N10" s="56" t="n">
        <v>562500</v>
      </c>
      <c r="O10" s="56" t="n">
        <v>562500</v>
      </c>
      <c r="P10" s="56" t="n">
        <v>562500</v>
      </c>
      <c r="Q10" s="56">
        <f>SUM(E10:P10)</f>
        <v/>
      </c>
    </row>
    <row r="11" ht="14" customHeight="1" s="63">
      <c r="B11" s="57" t="inlineStr">
        <is>
          <t>Dorothea Stoll</t>
        </is>
      </c>
      <c r="C11" s="58" t="inlineStr">
        <is>
          <t>100% COGS (Oct-Mar)</t>
        </is>
      </c>
      <c r="D11" s="59" t="inlineStr">
        <is>
          <t>Consultant</t>
        </is>
      </c>
      <c r="E11" s="60" t="n">
        <v>0</v>
      </c>
      <c r="F11" s="60" t="n">
        <v>0</v>
      </c>
      <c r="G11" s="60" t="n">
        <v>0</v>
      </c>
      <c r="H11" s="60" t="n">
        <v>0</v>
      </c>
      <c r="I11" s="60" t="n">
        <v>0</v>
      </c>
      <c r="J11" s="60" t="n">
        <v>0</v>
      </c>
      <c r="K11" s="60" t="n">
        <v>0</v>
      </c>
      <c r="L11" s="60" t="n">
        <v>0</v>
      </c>
      <c r="M11" s="60" t="n">
        <v>0</v>
      </c>
      <c r="N11" s="60" t="n">
        <v>0</v>
      </c>
      <c r="O11" s="60" t="n">
        <v>0</v>
      </c>
      <c r="P11" s="60" t="n">
        <v>0</v>
      </c>
      <c r="Q11" s="60">
        <f>SUM(E11:P11)</f>
        <v/>
      </c>
    </row>
    <row r="12" ht="14" customHeight="1" s="63">
      <c r="B12" s="53" t="inlineStr">
        <is>
          <t>BSM Crew (Kashish+
Priyanka+Nitin)</t>
        </is>
      </c>
      <c r="C12" s="54" t="inlineStr">
        <is>
          <t>100% BSM (Jul-Sep)</t>
        </is>
      </c>
      <c r="D12" s="55" t="inlineStr">
        <is>
          <t>Contractor</t>
        </is>
      </c>
      <c r="E12" s="56" t="n">
        <v>0</v>
      </c>
      <c r="F12" s="56" t="n">
        <v>0</v>
      </c>
      <c r="G12" s="56" t="n">
        <v>0</v>
      </c>
      <c r="H12" s="56" t="n">
        <v>0</v>
      </c>
      <c r="I12" s="56" t="n">
        <v>0</v>
      </c>
      <c r="J12" s="56" t="n">
        <v>0</v>
      </c>
      <c r="K12" s="56" t="n">
        <v>0</v>
      </c>
      <c r="L12" s="56" t="n">
        <v>0</v>
      </c>
      <c r="M12" s="56" t="n">
        <v>0</v>
      </c>
      <c r="N12" s="56" t="n">
        <v>0</v>
      </c>
      <c r="O12" s="56" t="n">
        <v>0</v>
      </c>
      <c r="P12" s="56" t="n">
        <v>0</v>
      </c>
      <c r="Q12" s="56">
        <f>SUM(E12:P12)</f>
        <v/>
      </c>
    </row>
    <row r="13" ht="14" customHeight="1" s="63">
      <c r="B13" s="57" t="inlineStr">
        <is>
          <t>Conam Tech</t>
        </is>
      </c>
      <c r="C13" s="58" t="inlineStr">
        <is>
          <t>100% COGS (Aug-Oct)</t>
        </is>
      </c>
      <c r="D13" s="59" t="inlineStr">
        <is>
          <t>Vendor</t>
        </is>
      </c>
      <c r="E13" s="60" t="n">
        <v>40000</v>
      </c>
      <c r="F13" s="60" t="n">
        <v>0</v>
      </c>
      <c r="G13" s="60" t="n">
        <v>0</v>
      </c>
      <c r="H13" s="60" t="n">
        <v>0</v>
      </c>
      <c r="I13" s="60" t="n">
        <v>0</v>
      </c>
      <c r="J13" s="60" t="n">
        <v>0</v>
      </c>
      <c r="K13" s="60" t="n">
        <v>0</v>
      </c>
      <c r="L13" s="60" t="n">
        <v>0</v>
      </c>
      <c r="M13" s="60" t="n">
        <v>0</v>
      </c>
      <c r="N13" s="60" t="n">
        <v>0</v>
      </c>
      <c r="O13" s="60" t="n">
        <v>0</v>
      </c>
      <c r="P13" s="60" t="n">
        <v>0</v>
      </c>
      <c r="Q13" s="60">
        <f>SUM(E13:P13)</f>
        <v/>
      </c>
    </row>
    <row r="14" ht="14" customHeight="1" s="63">
      <c r="B14" s="53" t="inlineStr">
        <is>
          <t>Biltzentech</t>
        </is>
      </c>
      <c r="C14" s="54" t="inlineStr">
        <is>
          <t>100% COGS (Nov-Mar)</t>
        </is>
      </c>
      <c r="D14" s="55" t="inlineStr">
        <is>
          <t>Vendor</t>
        </is>
      </c>
      <c r="E14" s="56" t="n">
        <v>0</v>
      </c>
      <c r="F14" s="56" t="n">
        <v>0</v>
      </c>
      <c r="G14" s="56" t="n">
        <v>0</v>
      </c>
      <c r="H14" s="56" t="n">
        <v>0</v>
      </c>
      <c r="I14" s="56" t="n">
        <v>0</v>
      </c>
      <c r="J14" s="56" t="n">
        <v>0</v>
      </c>
      <c r="K14" s="56" t="n">
        <v>0</v>
      </c>
      <c r="L14" s="56" t="n">
        <v>0</v>
      </c>
      <c r="M14" s="56" t="n">
        <v>0</v>
      </c>
      <c r="N14" s="56" t="n">
        <v>0</v>
      </c>
      <c r="O14" s="56" t="n">
        <v>0</v>
      </c>
      <c r="P14" s="56" t="n">
        <v>0</v>
      </c>
      <c r="Q14" s="56">
        <f>SUM(E14:P14)</f>
        <v/>
      </c>
    </row>
    <row r="15" ht="16" customHeight="1" s="63">
      <c r="A15" s="10" t="n"/>
      <c r="B15" s="61" t="inlineStr">
        <is>
          <t>TOTAL COGS</t>
        </is>
      </c>
      <c r="D15" s="12" t="n"/>
      <c r="E15" s="12">
        <f>SUM(E4:E14)</f>
        <v/>
      </c>
      <c r="F15" s="12">
        <f>SUM(F4:F14)</f>
        <v/>
      </c>
      <c r="G15" s="12">
        <f>SUM(G4:G14)</f>
        <v/>
      </c>
      <c r="H15" s="12">
        <f>SUM(H4:H14)</f>
        <v/>
      </c>
      <c r="I15" s="12">
        <f>SUM(I4:I14)</f>
        <v/>
      </c>
      <c r="J15" s="12">
        <f>SUM(J4:J14)</f>
        <v/>
      </c>
      <c r="K15" s="12">
        <f>SUM(K4:K14)</f>
        <v/>
      </c>
      <c r="L15" s="12">
        <f>SUM(L4:L14)</f>
        <v/>
      </c>
      <c r="M15" s="12">
        <f>SUM(M4:M14)</f>
        <v/>
      </c>
      <c r="N15" s="12">
        <f>SUM(N4:N14)</f>
        <v/>
      </c>
      <c r="O15" s="12">
        <f>SUM(O4:O14)</f>
        <v/>
      </c>
      <c r="P15" s="12">
        <f>SUM(P4:P14)</f>
        <v/>
      </c>
      <c r="Q15">
        <f>SUM(E15:P15)</f>
        <v/>
      </c>
    </row>
    <row r="17" ht="25" customHeight="1" s="63">
      <c r="B17" s="72" t="inlineStr">
        <is>
          <t>Allocation Notes: BSM delivery = Kashish (100% Jul-Sep) + Priyanka (100%) + Nitin Chandani (100%) + Parashar (25% Jul-Aug). TechM delivery = all FTE staff except Pareek (R&amp;D/G&amp;A) and Yash (R&amp;D). Megha (R&amp;D). Pinkesh joins Jan 2026 → TechM. Ramki 100% S&amp;M Apr-Aug; 50%/50% S&amp;M/COGS Sep-Mar. Dorothea: 100% COGS as account + delivery manager.</t>
        </is>
      </c>
    </row>
  </sheetData>
  <mergeCells count="2">
    <mergeCell ref="B17:O17"/>
    <mergeCell ref="B1:O1"/>
  </mergeCells>
  <pageMargins left="0.75" right="0.75" top="1" bottom="1" header="0.5" footer="0.5"/>
  <headerFooter>
    <oddHeader>&amp;C&amp;G</oddHeader>
    <oddFooter>&amp;C&amp;"Aptos"&amp;13 &amp;K000000_x000d_# Internal - Midofficedata.com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2026-04-02T10:38:32Z</dcterms:created>
  <dcterms:modified xmlns:dcterms="http://purl.org/dc/terms/" xmlns:xsi="http://www.w3.org/2001/XMLSchema-instance" xsi:type="dcterms:W3CDTF">2026-06-17T05:11:55Z</dcterms:modified>
  <cp:lastModifiedBy>Rahul Pareek</cp:lastModifiedBy>
</cp:coreProperties>
</file>

<file path=docProps/custom.xml><?xml version="1.0" encoding="utf-8"?>
<Properties xmlns="http://schemas.openxmlformats.org/officeDocument/2006/custom-properties">
  <property name="MSIP_Label_495658ad-1984-4925-ba1d-41c7a05843e1_Enabled" fmtid="{D5CDD505-2E9C-101B-9397-08002B2CF9AE}" pid="2">
    <vt:lpwstr xmlns:vt="http://schemas.openxmlformats.org/officeDocument/2006/docPropsVTypes">true</vt:lpwstr>
  </property>
  <property name="MSIP_Label_495658ad-1984-4925-ba1d-41c7a05843e1_SetDate" fmtid="{D5CDD505-2E9C-101B-9397-08002B2CF9AE}" pid="3">
    <vt:lpwstr xmlns:vt="http://schemas.openxmlformats.org/officeDocument/2006/docPropsVTypes">2026-06-08T02:52:04Z</vt:lpwstr>
  </property>
  <property name="MSIP_Label_495658ad-1984-4925-ba1d-41c7a05843e1_Method" fmtid="{D5CDD505-2E9C-101B-9397-08002B2CF9AE}" pid="4">
    <vt:lpwstr xmlns:vt="http://schemas.openxmlformats.org/officeDocument/2006/docPropsVTypes">Standard</vt:lpwstr>
  </property>
  <property name="MSIP_Label_495658ad-1984-4925-ba1d-41c7a05843e1_Name" fmtid="{D5CDD505-2E9C-101B-9397-08002B2CF9AE}" pid="5">
    <vt:lpwstr xmlns:vt="http://schemas.openxmlformats.org/officeDocument/2006/docPropsVTypes">Internal - Midofficedata.com</vt:lpwstr>
  </property>
  <property name="MSIP_Label_495658ad-1984-4925-ba1d-41c7a05843e1_SiteId" fmtid="{D5CDD505-2E9C-101B-9397-08002B2CF9AE}" pid="6">
    <vt:lpwstr xmlns:vt="http://schemas.openxmlformats.org/officeDocument/2006/docPropsVTypes">1806032f-a719-453e-8e14-5a5385413df4</vt:lpwstr>
  </property>
  <property name="MSIP_Label_495658ad-1984-4925-ba1d-41c7a05843e1_ActionId" fmtid="{D5CDD505-2E9C-101B-9397-08002B2CF9AE}" pid="7">
    <vt:lpwstr xmlns:vt="http://schemas.openxmlformats.org/officeDocument/2006/docPropsVTypes">27076525-279c-43be-9396-9398d26bfc44</vt:lpwstr>
  </property>
  <property name="MSIP_Label_495658ad-1984-4925-ba1d-41c7a05843e1_ContentBits" fmtid="{D5CDD505-2E9C-101B-9397-08002B2CF9AE}" pid="8">
    <vt:lpwstr xmlns:vt="http://schemas.openxmlformats.org/officeDocument/2006/docPropsVTypes">6</vt:lpwstr>
  </property>
  <property name="MSIP_Label_495658ad-1984-4925-ba1d-41c7a05843e1_Tag" fmtid="{D5CDD505-2E9C-101B-9397-08002B2CF9AE}" pid="9">
    <vt:lpwstr xmlns:vt="http://schemas.openxmlformats.org/officeDocument/2006/docPropsVTypes">10, 3, 0, 1</vt:lpwstr>
  </property>
</Properties>
</file>