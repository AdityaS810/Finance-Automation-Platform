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idofficedata1-my.sharepoint.com/personal/rpareek_midofficedata_com/Documents/"/>
    </mc:Choice>
  </mc:AlternateContent>
  <xr:revisionPtr revIDLastSave="0" documentId="8_{5FC3B9B5-34C8-40B9-8AF0-199FB29A50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arterly P&amp;L" sheetId="1" r:id="rId1"/>
    <sheet name="Monthly P&amp;L" sheetId="2" state="hidden" r:id="rId2"/>
    <sheet name="COGS Allocation Working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C9" i="1"/>
  <c r="D9" i="1"/>
  <c r="E9" i="1"/>
  <c r="F9" i="1"/>
  <c r="G9" i="1"/>
  <c r="G43" i="1"/>
  <c r="F43" i="1"/>
  <c r="E43" i="1"/>
  <c r="D43" i="1"/>
  <c r="C43" i="1"/>
  <c r="C29" i="1"/>
  <c r="D29" i="1"/>
  <c r="E29" i="1"/>
  <c r="F29" i="1"/>
  <c r="G29" i="1"/>
  <c r="G35" i="1"/>
  <c r="C35" i="1"/>
  <c r="D35" i="1"/>
  <c r="E35" i="1"/>
  <c r="F32" i="1"/>
  <c r="G12" i="1"/>
  <c r="G13" i="1"/>
  <c r="G15" i="1"/>
  <c r="G16" i="1"/>
  <c r="F17" i="1"/>
  <c r="E17" i="1"/>
  <c r="D17" i="1"/>
  <c r="C17" i="1"/>
  <c r="C45" i="1" l="1"/>
  <c r="E45" i="1"/>
  <c r="G45" i="1"/>
  <c r="D45" i="1"/>
  <c r="F18" i="1"/>
  <c r="F20" i="1" s="1"/>
  <c r="F21" i="1" s="1"/>
  <c r="E18" i="1"/>
  <c r="E20" i="1" s="1"/>
  <c r="E21" i="1" s="1"/>
  <c r="F35" i="1"/>
  <c r="D18" i="1"/>
  <c r="D20" i="1" s="1"/>
  <c r="D21" i="1" s="1"/>
  <c r="C18" i="1"/>
  <c r="C20" i="1" s="1"/>
  <c r="C21" i="1" s="1"/>
  <c r="G17" i="1"/>
  <c r="G18" i="1" s="1"/>
  <c r="G20" i="1"/>
  <c r="D47" i="1" l="1"/>
  <c r="G21" i="1"/>
  <c r="E47" i="1"/>
  <c r="F45" i="1"/>
  <c r="F47" i="1" s="1"/>
  <c r="C47" i="1"/>
</calcChain>
</file>

<file path=xl/sharedStrings.xml><?xml version="1.0" encoding="utf-8"?>
<sst xmlns="http://schemas.openxmlformats.org/spreadsheetml/2006/main" count="174" uniqueCount="147">
  <si>
    <t>MIDOFFICE DATA  |  Profit &amp; Loss Statement  |  FY 2025-26  (Apr 2025 – Mar 2026)</t>
  </si>
  <si>
    <t>India Parent (Midoffice Data Solutions Pvt Ltd) + US Subsidiary (Midoffice Data International Inc.)  |  Accrual Basis  |  FX: ₹90/USD  |  COGS: Sep-25 onwards  |  All amounts in INR (₹)</t>
  </si>
  <si>
    <t>Line Item</t>
  </si>
  <si>
    <t>Q1
(Apr–Jun 25)</t>
  </si>
  <si>
    <t>Q2
(Jul–Sep 25)</t>
  </si>
  <si>
    <t>Q3
(Oct–Dec 25)</t>
  </si>
  <si>
    <t>Q4
(Jan–Mar 26)</t>
  </si>
  <si>
    <t>FY
2025-26</t>
  </si>
  <si>
    <t>% Rev</t>
  </si>
  <si>
    <t>REVENUE</t>
  </si>
  <si>
    <t xml:space="preserve">  Fixed Deposit Interest Income</t>
  </si>
  <si>
    <t>TOTAL REVENUE</t>
  </si>
  <si>
    <t>COST OF GOODS SOLD (COGS)</t>
  </si>
  <si>
    <t xml:space="preserve">  Ramki — Delivery Allocation (50% COGS, Sep-Mar)</t>
  </si>
  <si>
    <t xml:space="preserve">  Dorothea Stoll — Account &amp; Delivery (COGS, Oct-Mar)</t>
  </si>
  <si>
    <t>TOTAL COGS</t>
  </si>
  <si>
    <t>GROSS PROFIT</t>
  </si>
  <si>
    <t xml:space="preserve">  Gross Margin %</t>
  </si>
  <si>
    <t>OPERATING EXPENSES</t>
  </si>
  <si>
    <t>Sales &amp; Marketing (S&amp;M)</t>
  </si>
  <si>
    <t xml:space="preserve">      Ramki — S&amp;M Allocation (100% Apr-Aug | 50% Sep-Mar)</t>
  </si>
  <si>
    <t xml:space="preserve">      Advertising &amp; Marketing</t>
  </si>
  <si>
    <t xml:space="preserve">      Travel Expenses</t>
  </si>
  <si>
    <t xml:space="preserve">      Meals &amp; Entertainment</t>
  </si>
  <si>
    <t xml:space="preserve">  Total S&amp;M</t>
  </si>
  <si>
    <t>Research &amp; Development (R&amp;D)</t>
  </si>
  <si>
    <t xml:space="preserve">      Consultant &amp; Contractor Expense (StackPro + R&amp;D vendors)</t>
  </si>
  <si>
    <t xml:space="preserve">      Software Subscriptions</t>
  </si>
  <si>
    <t xml:space="preserve">  Total R&amp;D</t>
  </si>
  <si>
    <t>General &amp; Administrative (G&amp;A)</t>
  </si>
  <si>
    <t xml:space="preserve">      Rent (Innov8 co-working)</t>
  </si>
  <si>
    <t xml:space="preserve">      IT &amp; Internet Expenses</t>
  </si>
  <si>
    <t xml:space="preserve">      Legal Expenses</t>
  </si>
  <si>
    <t xml:space="preserve">      Audit Fees &amp; Non-Operating</t>
  </si>
  <si>
    <t xml:space="preserve">      Other G&amp;A (bank fees, merchandise, other)</t>
  </si>
  <si>
    <t xml:space="preserve">  Total G&amp;A</t>
  </si>
  <si>
    <t>TOTAL OPERATING EXPENSES</t>
  </si>
  <si>
    <t>OPERATING PROFIT / (LOSS)</t>
  </si>
  <si>
    <t xml:space="preserve">  Net Margin %</t>
  </si>
  <si>
    <t>KEY METRICS SUMMARY</t>
  </si>
  <si>
    <t>Gross Margin (FY)</t>
  </si>
  <si>
    <t>53.5%</t>
  </si>
  <si>
    <t>52.9% — solid delivery margin; Q4 suppressed by annual bonus</t>
  </si>
  <si>
    <t>Q3 Gross Margin (peak)</t>
  </si>
  <si>
    <t>59.5%</t>
  </si>
  <si>
    <t>Best quarter — no bonus spike; reflects true delivery economics</t>
  </si>
  <si>
    <t>Monthly OpEx Run-Rate</t>
  </si>
  <si>
    <t>₹26.5L</t>
  </si>
  <si>
    <t>FY average; Q1 elevated by ₹19L StackPro payment</t>
  </si>
  <si>
    <t>Monthly Gross Burn (Q3 run-rate)</t>
  </si>
  <si>
    <t>₹43.3L</t>
  </si>
  <si>
    <t>COGS+OpEx at steady-state delivery pace</t>
  </si>
  <si>
    <t>Monthly Net (Q3 run-rate)</t>
  </si>
  <si>
    <t>+₹18.3L</t>
  </si>
  <si>
    <t>Business is cash-positive in active delivery months</t>
  </si>
  <si>
    <t>Revenue per India FTE</t>
  </si>
  <si>
    <t>₹43.1L</t>
  </si>
  <si>
    <t>Based on avg 9 India FTE; TechM revenue drives this</t>
  </si>
  <si>
    <t>Total People Cost (FY)</t>
  </si>
  <si>
    <t>₹3.89Cr</t>
  </si>
  <si>
    <t>India comp + US consulting (Ramki+Dorothea)</t>
  </si>
  <si>
    <t>Closing Cash (Mar 31)</t>
  </si>
  <si>
    <t>₹6.97 Cr</t>
  </si>
  <si>
    <t>Cash Runway (OpEx only)</t>
  </si>
  <si>
    <t>Cash ÷ avg monthly OpEx; operational runway if zero revenue</t>
  </si>
  <si>
    <t>⚑  Q4 Net Loss driven by annual performance bonuses (Mar 31): ₹43.8L for COGS staff + ₹12.5L for Pareek/Yash/Megha = ₹56.3L one-time. Normalised Q4 would show near-breakeven.</t>
  </si>
  <si>
    <t>⚑  Q1 Consultant Expense includes ₹19L StackPro Agentic AI payment (Apr 2025, one-time project). Underlying run-rate consultant spend is ₹3-4L/mo.</t>
  </si>
  <si>
    <t>★   BSM $5,000 provision in Q4 — under active commercial discussion. Not included in COGS. Will be added to Revenue/Gross Profit when closed.</t>
  </si>
  <si>
    <t xml:space="preserve">     TechM M4 Receivable ($100K = ₹90L) invoiced Feb 16, 2026 — not yet cash collected. Once received, closing cash rises to ~₹7.87 Cr.</t>
  </si>
  <si>
    <t xml:space="preserve">     Ramki allocated 50% COGS / 50% S&amp;M throughout year at $12,500/mo. Full annual Ramki cost = $150K = ₹1.35 Cr.</t>
  </si>
  <si>
    <t xml:space="preserve">     Apr-Feb actuals from Zoho Books. Mar 2026 from payroll ledger, bank statements, and accrual estimates. Consultant Mar = ₹4L accrual (unpaid).</t>
  </si>
  <si>
    <t>Monthly P&amp;L Detail  |  FY 2025-26  |  Apr-Dec 2025: Actuals  |  Jan-Mar 2026: Payroll + Bank + Estimates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</si>
  <si>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</si>
  <si>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</si>
  <si>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</si>
  <si>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</si>
  <si>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</si>
  <si>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</si>
  <si>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</si>
  <si>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</si>
  <si>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</si>
  <si>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</si>
  <si>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</si>
  <si>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</si>
  <si>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Tech Mahindra</t>
  </si>
  <si>
    <t>BSM Revenue</t>
  </si>
  <si>
    <t>FD Interest</t>
  </si>
  <si>
    <t>COGS</t>
  </si>
  <si>
    <t>COGS Total</t>
  </si>
  <si>
    <t>S&amp;M</t>
  </si>
  <si>
    <t>Ramki S&amp;M</t>
  </si>
  <si>
    <t>Advertising</t>
  </si>
  <si>
    <t>Travel</t>
  </si>
  <si>
    <t>Meals</t>
  </si>
  <si>
    <t>S&amp;M Total</t>
  </si>
  <si>
    <t>R&amp;D</t>
  </si>
  <si>
    <t>R&amp;D Salaries</t>
  </si>
  <si>
    <t>Consultant Exp.</t>
  </si>
  <si>
    <t>Software Subs</t>
  </si>
  <si>
    <t>R&amp;D Total</t>
  </si>
  <si>
    <t>G&amp;A</t>
  </si>
  <si>
    <t>Rent</t>
  </si>
  <si>
    <t>IT &amp; Internet</t>
  </si>
  <si>
    <t>Legal</t>
  </si>
  <si>
    <t>Audit &amp; Non-Op</t>
  </si>
  <si>
    <t>Other G&amp;A</t>
  </si>
  <si>
    <t>G&amp;A Total</t>
  </si>
  <si>
    <t>TOTAL OPEX</t>
  </si>
  <si>
    <t>NET PROFIT/(LOSS)</t>
  </si>
  <si>
    <t>COGS Allocation Detail  |  Delivery Staff + Vendors  |  Sep 2025 onwards for TechM  |  Jul-Sep for BSM</t>
  </si>
  <si>
    <t>Person / Vendor</t>
  </si>
  <si>
    <t>Allocation %</t>
  </si>
  <si>
    <t>Type</t>
  </si>
  <si>
    <t>FY Total</t>
  </si>
  <si>
    <t>Parashar (CPO)</t>
  </si>
  <si>
    <t>100% TechM (Sep-Mar)
25% BSM (Jul-Aug)</t>
  </si>
  <si>
    <t>FTE</t>
  </si>
  <si>
    <t>Sangeeth Nair</t>
  </si>
  <si>
    <t>100% TechM (Sep-Mar)</t>
  </si>
  <si>
    <t>Jitin Mangla</t>
  </si>
  <si>
    <t>Dipti Tiwari</t>
  </si>
  <si>
    <t>Dhanashri Saner</t>
  </si>
  <si>
    <t>Pinkesh Sethiya</t>
  </si>
  <si>
    <t>100% TechM (Jan-Mar)</t>
  </si>
  <si>
    <t>Ramki (CEO-US)</t>
  </si>
  <si>
    <t>50% COGS (Sep-Mar)</t>
  </si>
  <si>
    <t>Consultant</t>
  </si>
  <si>
    <t>Dorothea Stoll</t>
  </si>
  <si>
    <t>100% COGS (Oct-Mar)</t>
  </si>
  <si>
    <t>BSM Crew (Kashish+
Priyanka+Nitin)</t>
  </si>
  <si>
    <t>100% BSM (Jul-Sep)</t>
  </si>
  <si>
    <t>Contractor</t>
  </si>
  <si>
    <t>Conam Tech</t>
  </si>
  <si>
    <t>100% COGS (Aug-Oct)</t>
  </si>
  <si>
    <t>Vendor</t>
  </si>
  <si>
    <t>Biltzentech</t>
  </si>
  <si>
    <t>100% COGS (Nov-Mar)</t>
  </si>
  <si>
    <t>Allocation Notes: BSM delivery = Kashish (100% Jul-Sep) + Priyanka (100%) + Nitin Chandani (100%) + Parashar (25% Jul-Aug). TechM delivery = all FTE staff except Pareek (R&amp;D/G&amp;A) and Yash (R&amp;D). Megha (R&amp;D). Pinkesh joins Jan 2026 → TechM. Ramki 100% S&amp;M Apr-Aug; 50%/50% S&amp;M/COGS Sep-Mar. Dorothea: 100% COGS as account + delivery manager.</t>
  </si>
  <si>
    <t xml:space="preserve">India ₹5.41Cr + US ₹1.55Cr @₹90 </t>
  </si>
  <si>
    <t>15 months</t>
  </si>
  <si>
    <t xml:space="preserve">  BSM Delivery Contractors</t>
  </si>
  <si>
    <t>Technology Costs</t>
  </si>
  <si>
    <t xml:space="preserve">      India Salaries — R&amp;D &amp; Overhead</t>
  </si>
  <si>
    <t xml:space="preserve">  External Delivery Vendors (Conam + Biltzentech +Altysys )</t>
  </si>
  <si>
    <t xml:space="preserve">  Tech Mahindra (TechM) Billings</t>
  </si>
  <si>
    <t xml:space="preserve">  BSM — Platform AMC + Accrual Generation Feature Enablement</t>
  </si>
  <si>
    <t xml:space="preserve">  Delivery —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</si>
</sst>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\(\₹#,##0\);&quot;-&quot;"/>
    <numFmt numFmtId="165" formatCode="0.0%;\(0.0%\);&quot;-&quot;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b/>
      <sz val="10"/>
      <color rgb="FFFFFFFF"/>
      <name val="Arial"/>
    </font>
    <font>
      <b/>
      <sz val="10"/>
      <color rgb="FF1F2D4E"/>
      <name val="Arial"/>
    </font>
    <font>
      <i/>
      <sz val="8"/>
      <color rgb="FF555555"/>
      <name val="Arial"/>
    </font>
    <font>
      <i/>
      <sz val="8"/>
      <color rgb="FF666666"/>
      <name val="Arial"/>
    </font>
    <font>
      <b/>
      <sz val="12"/>
      <color rgb="FFFFFFFF"/>
      <name val="Arial"/>
    </font>
    <font>
      <b/>
      <sz val="9"/>
      <color rgb="FF5D4037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11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7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/>
      <right/>
      <top style="thin">
        <color rgb="FF1F2D4E"/>
      </top>
      <bottom/>
      <diagonal/>
    </border>
    <border>
      <left/>
      <right/>
      <top style="medium">
        <color rgb="FF1F2D4E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4" borderId="0" xfId="0" applyFill="1"/>
    <xf numFmtId="0" fontId="3" fillId="4" borderId="0" xfId="0" applyFont="1" applyFill="1" applyAlignment="1">
      <alignment horizontal="left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right" vertical="center"/>
    </xf>
    <xf numFmtId="0" fontId="0" fillId="6" borderId="0" xfId="0" applyFill="1"/>
    <xf numFmtId="0" fontId="4" fillId="6" borderId="0" xfId="0" applyFont="1" applyFill="1" applyAlignment="1">
      <alignment horizontal="left" vertical="center"/>
    </xf>
    <xf numFmtId="164" fontId="4" fillId="6" borderId="0" xfId="0" applyNumberFormat="1" applyFont="1" applyFill="1" applyAlignment="1">
      <alignment horizontal="right" vertical="center"/>
    </xf>
    <xf numFmtId="0" fontId="0" fillId="7" borderId="0" xfId="0" applyFill="1"/>
    <xf numFmtId="0" fontId="6" fillId="7" borderId="0" xfId="0" applyFont="1" applyFill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5" fillId="5" borderId="0" xfId="0" applyFont="1" applyFill="1" applyAlignment="1">
      <alignment horizontal="left" vertical="center"/>
    </xf>
    <xf numFmtId="0" fontId="0" fillId="2" borderId="0" xfId="0" applyFill="1"/>
    <xf numFmtId="0" fontId="7" fillId="2" borderId="0" xfId="0" applyFont="1" applyFill="1" applyAlignment="1">
      <alignment horizontal="left" vertical="center"/>
    </xf>
    <xf numFmtId="164" fontId="7" fillId="2" borderId="2" xfId="0" applyNumberFormat="1" applyFont="1" applyFill="1" applyBorder="1" applyAlignment="1">
      <alignment horizontal="right" vertical="center"/>
    </xf>
    <xf numFmtId="165" fontId="5" fillId="5" borderId="0" xfId="0" applyNumberFormat="1" applyFont="1" applyFill="1" applyAlignment="1">
      <alignment horizontal="center" vertical="center"/>
    </xf>
    <xf numFmtId="0" fontId="0" fillId="9" borderId="0" xfId="0" applyFill="1"/>
    <xf numFmtId="0" fontId="6" fillId="9" borderId="0" xfId="0" applyFont="1" applyFill="1" applyAlignment="1">
      <alignment horizontal="left" vertical="center"/>
    </xf>
    <xf numFmtId="0" fontId="0" fillId="10" borderId="0" xfId="0" applyFill="1"/>
    <xf numFmtId="0" fontId="6" fillId="10" borderId="0" xfId="0" applyFont="1" applyFill="1" applyAlignment="1">
      <alignment horizontal="left" vertical="center"/>
    </xf>
    <xf numFmtId="0" fontId="0" fillId="11" borderId="0" xfId="0" applyFill="1"/>
    <xf numFmtId="0" fontId="6" fillId="11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165" fontId="5" fillId="6" borderId="0" xfId="0" applyNumberFormat="1" applyFont="1" applyFill="1" applyAlignment="1">
      <alignment horizontal="center" vertical="center"/>
    </xf>
    <xf numFmtId="0" fontId="6" fillId="5" borderId="0" xfId="0" applyFont="1" applyFill="1"/>
    <xf numFmtId="0" fontId="8" fillId="5" borderId="0" xfId="0" applyFont="1" applyFill="1" applyAlignment="1">
      <alignment horizontal="center" vertical="center"/>
    </xf>
    <xf numFmtId="0" fontId="0" fillId="12" borderId="0" xfId="0" applyFill="1"/>
    <xf numFmtId="0" fontId="6" fillId="12" borderId="0" xfId="0" applyFont="1" applyFill="1"/>
    <xf numFmtId="0" fontId="8" fillId="1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4" fontId="13" fillId="5" borderId="0" xfId="0" applyNumberFormat="1" applyFont="1" applyFill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0" fillId="14" borderId="0" xfId="0" applyFill="1"/>
    <xf numFmtId="0" fontId="6" fillId="14" borderId="0" xfId="0" applyFont="1" applyFill="1" applyAlignment="1">
      <alignment horizontal="left" vertical="center"/>
    </xf>
    <xf numFmtId="164" fontId="14" fillId="14" borderId="1" xfId="0" applyNumberFormat="1" applyFont="1" applyFill="1" applyBorder="1" applyAlignment="1">
      <alignment horizontal="right" vertical="center"/>
    </xf>
    <xf numFmtId="0" fontId="4" fillId="9" borderId="0" xfId="0" applyFont="1" applyFill="1" applyAlignment="1">
      <alignment horizontal="left" vertical="center"/>
    </xf>
    <xf numFmtId="164" fontId="13" fillId="9" borderId="0" xfId="0" applyNumberFormat="1" applyFont="1" applyFill="1" applyAlignment="1">
      <alignment horizontal="righ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4" fillId="10" borderId="0" xfId="0" applyFont="1" applyFill="1" applyAlignment="1">
      <alignment horizontal="left" vertical="center"/>
    </xf>
    <xf numFmtId="164" fontId="13" fillId="10" borderId="0" xfId="0" applyNumberFormat="1" applyFont="1" applyFill="1" applyAlignment="1">
      <alignment horizontal="right" vertical="center"/>
    </xf>
    <xf numFmtId="164" fontId="14" fillId="10" borderId="1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164" fontId="13" fillId="11" borderId="0" xfId="0" applyNumberFormat="1" applyFont="1" applyFill="1" applyAlignment="1">
      <alignment horizontal="right" vertical="center"/>
    </xf>
    <xf numFmtId="164" fontId="14" fillId="11" borderId="1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lef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5" fillId="2" borderId="1" xfId="0" applyNumberFormat="1" applyFont="1" applyFill="1" applyBorder="1" applyAlignment="1">
      <alignment horizontal="right" vertical="center"/>
    </xf>
    <xf numFmtId="0" fontId="14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/>
    </xf>
    <xf numFmtId="164" fontId="13" fillId="5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/>
    </xf>
    <xf numFmtId="164" fontId="13" fillId="6" borderId="0" xfId="0" applyNumberFormat="1" applyFont="1" applyFill="1" applyAlignment="1">
      <alignment horizontal="center" vertical="center"/>
    </xf>
    <xf numFmtId="0" fontId="6" fillId="7" borderId="0" xfId="0" applyFont="1" applyFill="1"/>
    <xf numFmtId="0" fontId="10" fillId="0" borderId="0" xfId="0" applyFont="1" applyAlignment="1">
      <alignment horizontal="left" vertical="center" wrapText="1"/>
    </xf>
    <xf numFmtId="0" fontId="0" fillId="0" borderId="0" xfId="0"/>
    <xf numFmtId="0" fontId="9" fillId="12" borderId="0" xfId="0" applyFont="1" applyFill="1" applyAlignment="1">
      <alignment horizontal="left" vertical="center" wrapText="1"/>
    </xf>
    <xf numFmtId="0" fontId="0" fillId="12" borderId="0" xfId="0" applyFill="1"/>
    <xf numFmtId="0" fontId="2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0" fillId="5" borderId="0" xfId="0" applyFill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B2" sqref="B2:H2"/>
    </sheetView>
  </sheetViews>
  <sheetFormatPr defaultRowHeight="14.5" x14ac:dyDescent="0.35"/>
  <cols>
    <col min="1" max="1" width="2" customWidth="1"/>
    <col min="2" max="2" width="61.36328125" bestFit="1" customWidth="1"/>
    <col min="3" max="3" width="14" customWidth="1"/>
    <col min="4" max="4" width="13.36328125" bestFit="1" customWidth="1"/>
    <col min="5" max="5" width="11.453125" bestFit="1" customWidth="1"/>
    <col min="6" max="6" width="11.1796875" bestFit="1" customWidth="1"/>
    <col min="7" max="7" width="12.7265625" bestFit="1" customWidth="1"/>
    <col min="8" max="8" width="6" bestFit="1" customWidth="1"/>
  </cols>
  <sheetData>
    <row r="1" spans="1:8" ht="28" customHeight="1" x14ac:dyDescent="0.35">
      <c r="B1" s="70" t="s">
        <v>0</v>
      </c>
      <c r="C1" s="63"/>
      <c r="D1" s="63"/>
      <c r="E1" s="63"/>
      <c r="F1" s="63"/>
      <c r="G1" s="63"/>
      <c r="H1" s="63"/>
    </row>
    <row r="2" spans="1:8" ht="16" customHeight="1" x14ac:dyDescent="0.35">
      <c r="B2" s="66" t="s">
        <v>1</v>
      </c>
      <c r="C2" s="63"/>
      <c r="D2" s="63"/>
      <c r="E2" s="63"/>
      <c r="F2" s="63"/>
      <c r="G2" s="63"/>
      <c r="H2" s="63"/>
    </row>
    <row r="4" spans="1:8" ht="28" customHeight="1" x14ac:dyDescent="0.35">
      <c r="A4" s="1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6" customHeight="1" x14ac:dyDescent="0.35">
      <c r="A5" s="2"/>
      <c r="B5" s="3" t="s">
        <v>9</v>
      </c>
      <c r="H5" s="2"/>
    </row>
    <row r="6" spans="1:8" ht="16" customHeight="1" x14ac:dyDescent="0.35">
      <c r="A6" s="4"/>
      <c r="B6" s="5" t="s">
        <v>144</v>
      </c>
      <c r="C6" s="6">
        <v>0</v>
      </c>
      <c r="D6" s="6">
        <v>9000000</v>
      </c>
      <c r="E6" s="6">
        <v>18000000</v>
      </c>
      <c r="F6" s="6">
        <v>9000000</v>
      </c>
      <c r="G6" s="6">
        <v>36000000</v>
      </c>
      <c r="H6" s="4"/>
    </row>
    <row r="7" spans="1:8" ht="16" customHeight="1" x14ac:dyDescent="0.35">
      <c r="A7" s="7"/>
      <c r="B7" s="8" t="s">
        <v>145</v>
      </c>
      <c r="C7" s="9">
        <v>0</v>
      </c>
      <c r="D7" s="9">
        <v>1248750</v>
      </c>
      <c r="E7" s="9">
        <v>168750</v>
      </c>
      <c r="F7" s="9">
        <v>162000</v>
      </c>
      <c r="G7" s="9">
        <v>1579500</v>
      </c>
      <c r="H7" s="7"/>
    </row>
    <row r="8" spans="1:8" ht="16" customHeight="1" x14ac:dyDescent="0.35">
      <c r="A8" s="4"/>
      <c r="B8" s="5" t="s">
        <v>10</v>
      </c>
      <c r="C8" s="6">
        <v>298629</v>
      </c>
      <c r="D8" s="6">
        <v>298629</v>
      </c>
      <c r="E8" s="6">
        <v>298629</v>
      </c>
      <c r="F8" s="6">
        <v>298629</v>
      </c>
      <c r="G8" s="6">
        <v>1194516</v>
      </c>
      <c r="H8" s="4"/>
    </row>
    <row r="9" spans="1:8" ht="16" customHeight="1" x14ac:dyDescent="0.35">
      <c r="A9" s="10"/>
      <c r="B9" s="11" t="s">
        <v>11</v>
      </c>
      <c r="C9" s="12">
        <f>SUM(C6:C8)</f>
        <v>298629</v>
      </c>
      <c r="D9" s="12">
        <f>SUM(D6:D8)</f>
        <v>10547379</v>
      </c>
      <c r="E9" s="12">
        <f>SUM(E6:E8)</f>
        <v>18467379</v>
      </c>
      <c r="F9" s="12">
        <f>SUM(F6:F8)</f>
        <v>9460629</v>
      </c>
      <c r="G9" s="12">
        <f>SUM(G6:G8)</f>
        <v>38774016</v>
      </c>
      <c r="H9" s="10"/>
    </row>
    <row r="10" spans="1:8" ht="5" customHeight="1" x14ac:dyDescent="0.35">
      <c r="A10" s="13"/>
      <c r="B10" s="13"/>
      <c r="C10" s="13"/>
      <c r="D10" s="13"/>
      <c r="E10" s="13"/>
      <c r="F10" s="13"/>
      <c r="G10" s="13"/>
      <c r="H10" s="13"/>
    </row>
    <row r="11" spans="1:8" ht="16" customHeight="1" x14ac:dyDescent="0.35">
      <c r="A11" s="2"/>
      <c r="B11" s="3" t="s">
        <v>12</v>
      </c>
      <c r="H11" s="2"/>
    </row>
    <row r="12" spans="1:8" ht="16" customHeight="1" x14ac:dyDescent="0.35">
      <c r="A12" s="7"/>
      <c r="B12" s="8" t="s">
        <v>146</v>
      </c>
      <c r="C12" s="9">
        <v>0</v>
      </c>
      <c r="D12" s="9">
        <v>962632</v>
      </c>
      <c r="E12" s="9">
        <v>2887896</v>
      </c>
      <c r="F12" s="9">
        <v>3217896</v>
      </c>
      <c r="G12" s="9">
        <f>SUM(C12:F12)</f>
        <v>7068424</v>
      </c>
      <c r="H12" s="7"/>
    </row>
    <row r="13" spans="1:8" ht="16" customHeight="1" x14ac:dyDescent="0.35">
      <c r="A13" s="7"/>
      <c r="B13" s="8" t="s">
        <v>140</v>
      </c>
      <c r="C13" s="9">
        <v>0</v>
      </c>
      <c r="D13" s="9">
        <v>581884</v>
      </c>
      <c r="E13" s="9">
        <v>0</v>
      </c>
      <c r="F13" s="9">
        <v>0</v>
      </c>
      <c r="G13" s="9">
        <f>SUM(C13:F13)</f>
        <v>581884</v>
      </c>
      <c r="H13" s="7"/>
    </row>
    <row r="14" spans="1:8" ht="16" customHeight="1" x14ac:dyDescent="0.35">
      <c r="A14" s="4"/>
      <c r="B14" s="5" t="s">
        <v>13</v>
      </c>
      <c r="C14" s="6">
        <v>0</v>
      </c>
      <c r="D14" s="6">
        <v>562500</v>
      </c>
      <c r="E14" s="6">
        <v>1687500</v>
      </c>
      <c r="F14" s="6">
        <v>1687500</v>
      </c>
      <c r="G14" s="6">
        <v>3937500</v>
      </c>
      <c r="H14" s="4"/>
    </row>
    <row r="15" spans="1:8" ht="16" customHeight="1" x14ac:dyDescent="0.35">
      <c r="A15" s="7"/>
      <c r="B15" s="8" t="s">
        <v>14</v>
      </c>
      <c r="C15" s="9">
        <v>0</v>
      </c>
      <c r="D15" s="9">
        <v>0</v>
      </c>
      <c r="E15" s="9">
        <v>2381490</v>
      </c>
      <c r="F15" s="9">
        <v>1128420</v>
      </c>
      <c r="G15" s="9">
        <f>SUM(C15:F15)</f>
        <v>3509910</v>
      </c>
      <c r="H15" s="7"/>
    </row>
    <row r="16" spans="1:8" ht="16" customHeight="1" x14ac:dyDescent="0.35">
      <c r="A16" s="4"/>
      <c r="B16" s="5" t="s">
        <v>143</v>
      </c>
      <c r="C16" s="6">
        <v>0</v>
      </c>
      <c r="D16" s="6">
        <v>184151</v>
      </c>
      <c r="E16" s="6">
        <v>530621</v>
      </c>
      <c r="F16" s="6">
        <v>600000</v>
      </c>
      <c r="G16" s="6">
        <f>SUM(C16:F16)</f>
        <v>1314772</v>
      </c>
      <c r="H16" s="4"/>
    </row>
    <row r="17" spans="1:8" ht="16" customHeight="1" x14ac:dyDescent="0.35">
      <c r="A17" s="4"/>
      <c r="B17" s="5" t="s">
        <v>141</v>
      </c>
      <c r="C17" s="6">
        <f>20*3*6*90+500*90</f>
        <v>77400</v>
      </c>
      <c r="D17" s="6">
        <f>20*3*6*90+500*90</f>
        <v>77400</v>
      </c>
      <c r="E17" s="6">
        <f>20*3*6*90+500*90</f>
        <v>77400</v>
      </c>
      <c r="F17" s="6">
        <f>20*3*6*90+500*90</f>
        <v>77400</v>
      </c>
      <c r="G17" s="6">
        <f>SUM(C17:F17)</f>
        <v>309600</v>
      </c>
      <c r="H17" s="4"/>
    </row>
    <row r="18" spans="1:8" ht="16" customHeight="1" x14ac:dyDescent="0.35">
      <c r="A18" s="10"/>
      <c r="B18" s="11" t="s">
        <v>15</v>
      </c>
      <c r="C18" s="12">
        <f>SUM(C12:C17)</f>
        <v>77400</v>
      </c>
      <c r="D18" s="12">
        <f>SUM(D12:D17)</f>
        <v>2368567</v>
      </c>
      <c r="E18" s="12">
        <f t="shared" ref="E18:F18" si="0">SUM(E12:E17)</f>
        <v>7564907</v>
      </c>
      <c r="F18" s="12">
        <f t="shared" si="0"/>
        <v>6711216</v>
      </c>
      <c r="G18" s="12">
        <f>SUM(G12:G17)</f>
        <v>16722090</v>
      </c>
      <c r="H18" s="10"/>
    </row>
    <row r="19" spans="1:8" ht="5" customHeight="1" x14ac:dyDescent="0.35">
      <c r="A19" s="13"/>
      <c r="B19" s="13"/>
      <c r="C19" s="13"/>
      <c r="D19" s="13"/>
      <c r="E19" s="13"/>
      <c r="F19" s="13"/>
      <c r="G19" s="13"/>
      <c r="H19" s="13"/>
    </row>
    <row r="20" spans="1:8" ht="18" customHeight="1" x14ac:dyDescent="0.35">
      <c r="A20" s="15"/>
      <c r="B20" s="16" t="s">
        <v>16</v>
      </c>
      <c r="C20" s="17">
        <f>C9-C18</f>
        <v>221229</v>
      </c>
      <c r="D20" s="17">
        <f>D9-D18</f>
        <v>8178812</v>
      </c>
      <c r="E20" s="17">
        <f>E9-E18</f>
        <v>10902472</v>
      </c>
      <c r="F20" s="17">
        <f>F9-F18</f>
        <v>2749413</v>
      </c>
      <c r="G20" s="17">
        <f>G9-G18</f>
        <v>22051926</v>
      </c>
      <c r="H20" s="15"/>
    </row>
    <row r="21" spans="1:8" ht="16" customHeight="1" x14ac:dyDescent="0.35">
      <c r="A21" s="4"/>
      <c r="B21" s="14" t="s">
        <v>17</v>
      </c>
      <c r="C21" s="18">
        <f>C20/C9</f>
        <v>0.74081552695819897</v>
      </c>
      <c r="D21" s="18">
        <f>D20/D9</f>
        <v>0.77543548970791698</v>
      </c>
      <c r="E21" s="18">
        <f>E20/E9</f>
        <v>0.59036379769971692</v>
      </c>
      <c r="F21" s="18">
        <f>F20/F9</f>
        <v>0.29061630045951492</v>
      </c>
      <c r="G21" s="18">
        <f>AVERAGE(C21:F21)</f>
        <v>0.599307778706337</v>
      </c>
      <c r="H21" s="4"/>
    </row>
    <row r="22" spans="1:8" ht="5" customHeight="1" x14ac:dyDescent="0.35">
      <c r="A22" s="13"/>
      <c r="B22" s="13"/>
      <c r="C22" s="13"/>
      <c r="D22" s="13"/>
      <c r="E22" s="13"/>
      <c r="F22" s="13"/>
      <c r="G22" s="13"/>
      <c r="H22" s="13"/>
    </row>
    <row r="23" spans="1:8" ht="16" customHeight="1" x14ac:dyDescent="0.35">
      <c r="A23" s="2"/>
      <c r="B23" s="3" t="s">
        <v>18</v>
      </c>
      <c r="H23" s="2"/>
    </row>
    <row r="24" spans="1:8" ht="16" customHeight="1" x14ac:dyDescent="0.35">
      <c r="A24" s="19"/>
      <c r="B24" s="20" t="s">
        <v>19</v>
      </c>
      <c r="H24" s="19"/>
    </row>
    <row r="25" spans="1:8" ht="16" customHeight="1" x14ac:dyDescent="0.35">
      <c r="A25" s="4"/>
      <c r="B25" s="5" t="s">
        <v>20</v>
      </c>
      <c r="C25" s="6">
        <v>3375000</v>
      </c>
      <c r="D25" s="6">
        <v>2812500</v>
      </c>
      <c r="E25" s="6">
        <v>1687500</v>
      </c>
      <c r="F25" s="6">
        <v>1687500</v>
      </c>
      <c r="G25" s="6">
        <v>9562500</v>
      </c>
      <c r="H25" s="4"/>
    </row>
    <row r="26" spans="1:8" ht="16" customHeight="1" x14ac:dyDescent="0.35">
      <c r="A26" s="7"/>
      <c r="B26" s="8" t="s">
        <v>21</v>
      </c>
      <c r="C26" s="9">
        <v>92521</v>
      </c>
      <c r="D26" s="9">
        <v>226247</v>
      </c>
      <c r="E26" s="9">
        <v>0</v>
      </c>
      <c r="F26" s="9">
        <v>106990</v>
      </c>
      <c r="G26" s="9">
        <v>425758</v>
      </c>
      <c r="H26" s="7"/>
    </row>
    <row r="27" spans="1:8" ht="16" customHeight="1" x14ac:dyDescent="0.35">
      <c r="A27" s="4"/>
      <c r="B27" s="5" t="s">
        <v>22</v>
      </c>
      <c r="C27" s="6">
        <v>110321</v>
      </c>
      <c r="D27" s="6">
        <v>169956</v>
      </c>
      <c r="E27" s="6">
        <v>267000</v>
      </c>
      <c r="F27" s="6">
        <v>325936</v>
      </c>
      <c r="G27" s="6">
        <v>873213</v>
      </c>
      <c r="H27" s="4"/>
    </row>
    <row r="28" spans="1:8" ht="16" customHeight="1" x14ac:dyDescent="0.35">
      <c r="A28" s="7"/>
      <c r="B28" s="8" t="s">
        <v>23</v>
      </c>
      <c r="C28" s="9">
        <v>0</v>
      </c>
      <c r="D28" s="9">
        <v>0</v>
      </c>
      <c r="E28" s="9">
        <v>94031</v>
      </c>
      <c r="F28" s="9">
        <v>0</v>
      </c>
      <c r="G28" s="9">
        <v>94031</v>
      </c>
      <c r="H28" s="7"/>
    </row>
    <row r="29" spans="1:8" ht="16" customHeight="1" x14ac:dyDescent="0.35">
      <c r="A29" s="10"/>
      <c r="B29" s="11" t="s">
        <v>24</v>
      </c>
      <c r="C29" s="12">
        <f>SUM(C25:C28)</f>
        <v>3577842</v>
      </c>
      <c r="D29" s="12">
        <f>SUM(D25:D28)</f>
        <v>3208703</v>
      </c>
      <c r="E29" s="12">
        <f>SUM(E25:E28)</f>
        <v>2048531</v>
      </c>
      <c r="F29" s="12">
        <f>SUM(F25:F28)</f>
        <v>2120426</v>
      </c>
      <c r="G29" s="12">
        <f>SUM(G25:G28)</f>
        <v>10955502</v>
      </c>
      <c r="H29" s="10"/>
    </row>
    <row r="30" spans="1:8" ht="5" customHeight="1" x14ac:dyDescent="0.35">
      <c r="A30" s="13"/>
      <c r="B30" s="13"/>
      <c r="C30" s="13"/>
      <c r="D30" s="13"/>
      <c r="E30" s="13"/>
      <c r="F30" s="13"/>
      <c r="G30" s="13"/>
      <c r="H30" s="13"/>
    </row>
    <row r="31" spans="1:8" ht="16" customHeight="1" x14ac:dyDescent="0.35">
      <c r="A31" s="21"/>
      <c r="B31" s="22" t="s">
        <v>25</v>
      </c>
      <c r="H31" s="21"/>
    </row>
    <row r="32" spans="1:8" ht="16" customHeight="1" x14ac:dyDescent="0.35">
      <c r="A32" s="7"/>
      <c r="B32" s="8" t="s">
        <v>142</v>
      </c>
      <c r="C32" s="9">
        <v>4441667</v>
      </c>
      <c r="D32" s="9">
        <v>2902369</v>
      </c>
      <c r="E32" s="9">
        <v>1136286</v>
      </c>
      <c r="F32" s="9">
        <f>2583599+2500000</f>
        <v>5083599</v>
      </c>
      <c r="G32" s="9">
        <v>11063921</v>
      </c>
      <c r="H32" s="7"/>
    </row>
    <row r="33" spans="1:8" ht="16" customHeight="1" x14ac:dyDescent="0.35">
      <c r="A33" s="4"/>
      <c r="B33" s="5" t="s">
        <v>26</v>
      </c>
      <c r="C33" s="6">
        <v>2511901</v>
      </c>
      <c r="D33" s="6">
        <v>1784375</v>
      </c>
      <c r="E33" s="6">
        <v>1068000</v>
      </c>
      <c r="F33" s="6">
        <v>1048000</v>
      </c>
      <c r="G33" s="6">
        <v>6412276</v>
      </c>
      <c r="H33" s="4"/>
    </row>
    <row r="34" spans="1:8" ht="16" customHeight="1" x14ac:dyDescent="0.35">
      <c r="A34" s="7"/>
      <c r="B34" s="8" t="s">
        <v>27</v>
      </c>
      <c r="C34" s="9">
        <v>173619</v>
      </c>
      <c r="D34" s="9">
        <v>230670</v>
      </c>
      <c r="E34" s="9">
        <v>671971</v>
      </c>
      <c r="F34" s="9">
        <v>165004</v>
      </c>
      <c r="G34" s="9">
        <v>1241264</v>
      </c>
      <c r="H34" s="7"/>
    </row>
    <row r="35" spans="1:8" ht="16" customHeight="1" x14ac:dyDescent="0.35">
      <c r="A35" s="10"/>
      <c r="B35" s="11" t="s">
        <v>28</v>
      </c>
      <c r="C35" s="12">
        <f>SUM(C32:C34)</f>
        <v>7127187</v>
      </c>
      <c r="D35" s="12">
        <f>SUM(D32:D34)</f>
        <v>4917414</v>
      </c>
      <c r="E35" s="12">
        <f>SUM(E32:E34)</f>
        <v>2876257</v>
      </c>
      <c r="F35" s="12">
        <f>SUM(F32:F34)</f>
        <v>6296603</v>
      </c>
      <c r="G35" s="12">
        <f>SUM(G32:G34)</f>
        <v>18717461</v>
      </c>
      <c r="H35" s="10"/>
    </row>
    <row r="36" spans="1:8" ht="5" customHeight="1" x14ac:dyDescent="0.35">
      <c r="A36" s="13"/>
      <c r="B36" s="13"/>
      <c r="C36" s="13"/>
      <c r="D36" s="13"/>
      <c r="E36" s="13"/>
      <c r="F36" s="13"/>
      <c r="G36" s="13"/>
      <c r="H36" s="13"/>
    </row>
    <row r="37" spans="1:8" ht="16" customHeight="1" x14ac:dyDescent="0.35">
      <c r="A37" s="23"/>
      <c r="B37" s="24" t="s">
        <v>29</v>
      </c>
      <c r="H37" s="23"/>
    </row>
    <row r="38" spans="1:8" ht="16" customHeight="1" x14ac:dyDescent="0.35">
      <c r="A38" s="7"/>
      <c r="B38" s="8" t="s">
        <v>30</v>
      </c>
      <c r="C38" s="9">
        <v>201000</v>
      </c>
      <c r="D38" s="9">
        <v>201000</v>
      </c>
      <c r="E38" s="9">
        <v>182280</v>
      </c>
      <c r="F38" s="9">
        <v>152280</v>
      </c>
      <c r="G38" s="9">
        <v>736560</v>
      </c>
      <c r="H38" s="7"/>
    </row>
    <row r="39" spans="1:8" ht="16" customHeight="1" x14ac:dyDescent="0.35">
      <c r="A39" s="4"/>
      <c r="B39" s="5" t="s">
        <v>31</v>
      </c>
      <c r="C39" s="6">
        <v>14000</v>
      </c>
      <c r="D39" s="6">
        <v>0</v>
      </c>
      <c r="E39" s="6">
        <v>311500</v>
      </c>
      <c r="F39" s="6">
        <v>568247</v>
      </c>
      <c r="G39" s="6">
        <v>893747</v>
      </c>
      <c r="H39" s="4"/>
    </row>
    <row r="40" spans="1:8" ht="16" customHeight="1" x14ac:dyDescent="0.35">
      <c r="A40" s="7"/>
      <c r="B40" s="8" t="s">
        <v>32</v>
      </c>
      <c r="C40" s="9">
        <v>65469</v>
      </c>
      <c r="D40" s="9">
        <v>47250</v>
      </c>
      <c r="E40" s="9">
        <v>49000</v>
      </c>
      <c r="F40" s="9">
        <v>32650</v>
      </c>
      <c r="G40" s="9">
        <v>194369</v>
      </c>
      <c r="H40" s="7"/>
    </row>
    <row r="41" spans="1:8" ht="16" customHeight="1" x14ac:dyDescent="0.35">
      <c r="A41" s="4"/>
      <c r="B41" s="5" t="s">
        <v>33</v>
      </c>
      <c r="C41" s="6">
        <v>3239</v>
      </c>
      <c r="D41" s="6">
        <v>0</v>
      </c>
      <c r="E41" s="6">
        <v>0</v>
      </c>
      <c r="F41" s="6">
        <v>0</v>
      </c>
      <c r="G41" s="6">
        <v>3239</v>
      </c>
      <c r="H41" s="4"/>
    </row>
    <row r="42" spans="1:8" ht="16" customHeight="1" x14ac:dyDescent="0.35">
      <c r="A42" s="7"/>
      <c r="B42" s="8" t="s">
        <v>34</v>
      </c>
      <c r="C42" s="9">
        <v>88391</v>
      </c>
      <c r="D42" s="9">
        <v>2491</v>
      </c>
      <c r="E42" s="9">
        <v>2491</v>
      </c>
      <c r="F42" s="9">
        <v>22674</v>
      </c>
      <c r="G42" s="9">
        <v>116047</v>
      </c>
      <c r="H42" s="7"/>
    </row>
    <row r="43" spans="1:8" ht="16" customHeight="1" x14ac:dyDescent="0.35">
      <c r="A43" s="10"/>
      <c r="B43" s="11" t="s">
        <v>35</v>
      </c>
      <c r="C43" s="12">
        <f>SUM(C38:C42)</f>
        <v>372099</v>
      </c>
      <c r="D43" s="12">
        <f>SUM(D38:D42)</f>
        <v>250741</v>
      </c>
      <c r="E43" s="12">
        <f>SUM(E38:E42)</f>
        <v>545271</v>
      </c>
      <c r="F43" s="12">
        <f>SUM(F38:F42)</f>
        <v>775851</v>
      </c>
      <c r="G43" s="12">
        <f>SUM(G38:G42)</f>
        <v>1943962</v>
      </c>
      <c r="H43" s="10"/>
    </row>
    <row r="44" spans="1:8" ht="5" customHeight="1" x14ac:dyDescent="0.35">
      <c r="A44" s="13"/>
      <c r="B44" s="13"/>
      <c r="C44" s="13"/>
      <c r="D44" s="13"/>
      <c r="E44" s="13"/>
      <c r="F44" s="13"/>
      <c r="G44" s="13"/>
      <c r="H44" s="13"/>
    </row>
    <row r="45" spans="1:8" ht="16" customHeight="1" x14ac:dyDescent="0.35">
      <c r="A45" s="10"/>
      <c r="B45" s="11" t="s">
        <v>36</v>
      </c>
      <c r="C45" s="12">
        <f>SUM(C29,C43,C35)</f>
        <v>11077128</v>
      </c>
      <c r="D45" s="12">
        <f>SUM(D29,D43,D35)</f>
        <v>8376858</v>
      </c>
      <c r="E45" s="12">
        <f>SUM(E29,E43,E35)</f>
        <v>5470059</v>
      </c>
      <c r="F45" s="12">
        <f>SUM(F29,F43,F35)</f>
        <v>9192880</v>
      </c>
      <c r="G45" s="12">
        <f>SUM(G29,G43,G35)</f>
        <v>31616925</v>
      </c>
      <c r="H45" s="10"/>
    </row>
    <row r="46" spans="1:8" ht="5" customHeight="1" x14ac:dyDescent="0.35">
      <c r="A46" s="13"/>
      <c r="B46" s="13"/>
      <c r="C46" s="13"/>
      <c r="D46" s="13"/>
      <c r="E46" s="13"/>
      <c r="F46" s="13"/>
      <c r="G46" s="13"/>
      <c r="H46" s="13"/>
    </row>
    <row r="47" spans="1:8" ht="18" customHeight="1" x14ac:dyDescent="0.35">
      <c r="A47" s="15"/>
      <c r="B47" s="16" t="s">
        <v>37</v>
      </c>
      <c r="C47" s="17">
        <f>C9-SUM(C45,C18)</f>
        <v>-10855899</v>
      </c>
      <c r="D47" s="17">
        <f>D9-SUM(D45,D18)</f>
        <v>-198046</v>
      </c>
      <c r="E47" s="17">
        <f>E9-SUM(E45,E18)</f>
        <v>5432413</v>
      </c>
      <c r="F47" s="17">
        <f>F9-SUM(F45,F18)</f>
        <v>-6443467</v>
      </c>
      <c r="G47" s="17">
        <v>-10792438</v>
      </c>
      <c r="H47" s="15"/>
    </row>
    <row r="48" spans="1:8" ht="16" customHeight="1" x14ac:dyDescent="0.35">
      <c r="A48" s="7"/>
      <c r="B48" s="25" t="s">
        <v>38</v>
      </c>
      <c r="C48" s="26">
        <v>-36.511855847891532</v>
      </c>
      <c r="D48" s="26">
        <v>-1.1438481541243561E-2</v>
      </c>
      <c r="E48" s="26">
        <v>0.29710837688445119</v>
      </c>
      <c r="F48" s="26">
        <v>-0.53024949274158073</v>
      </c>
      <c r="G48" s="26">
        <v>-0.27514872520957567</v>
      </c>
      <c r="H48" s="7"/>
    </row>
    <row r="49" spans="1:10" ht="5" customHeight="1" x14ac:dyDescent="0.35">
      <c r="A49" s="13"/>
      <c r="B49" s="13"/>
      <c r="C49" s="13"/>
      <c r="D49" s="13"/>
      <c r="E49" s="13"/>
      <c r="F49" s="13"/>
      <c r="G49" s="13"/>
      <c r="H49" s="13"/>
    </row>
    <row r="51" spans="1:10" ht="20" customHeight="1" x14ac:dyDescent="0.35">
      <c r="B51" s="69" t="s">
        <v>39</v>
      </c>
      <c r="C51" s="63"/>
      <c r="D51" s="63"/>
      <c r="E51" s="63"/>
      <c r="F51" s="63"/>
      <c r="G51" s="63"/>
      <c r="H51" s="63"/>
    </row>
    <row r="52" spans="1:10" ht="15" customHeight="1" x14ac:dyDescent="0.35">
      <c r="A52" s="4"/>
      <c r="B52" s="27" t="s">
        <v>40</v>
      </c>
      <c r="C52" s="28" t="s">
        <v>41</v>
      </c>
      <c r="D52" s="67" t="s">
        <v>42</v>
      </c>
      <c r="E52" s="68"/>
      <c r="F52" s="68"/>
      <c r="G52" s="68"/>
      <c r="H52" s="68"/>
    </row>
    <row r="53" spans="1:10" ht="15" customHeight="1" x14ac:dyDescent="0.35">
      <c r="A53" s="29"/>
      <c r="B53" s="30" t="s">
        <v>43</v>
      </c>
      <c r="C53" s="31" t="s">
        <v>44</v>
      </c>
      <c r="D53" s="64" t="s">
        <v>45</v>
      </c>
      <c r="E53" s="65"/>
      <c r="F53" s="65"/>
      <c r="G53" s="65"/>
      <c r="H53" s="65"/>
    </row>
    <row r="54" spans="1:10" ht="15" customHeight="1" x14ac:dyDescent="0.35">
      <c r="A54" s="4"/>
      <c r="B54" s="27" t="s">
        <v>46</v>
      </c>
      <c r="C54" s="28" t="s">
        <v>47</v>
      </c>
      <c r="D54" s="67" t="s">
        <v>48</v>
      </c>
      <c r="E54" s="68"/>
      <c r="F54" s="68"/>
      <c r="G54" s="68"/>
      <c r="H54" s="68"/>
    </row>
    <row r="55" spans="1:10" ht="15" customHeight="1" x14ac:dyDescent="0.35">
      <c r="A55" s="29"/>
      <c r="B55" s="30" t="s">
        <v>49</v>
      </c>
      <c r="C55" s="31" t="s">
        <v>50</v>
      </c>
      <c r="D55" s="64" t="s">
        <v>51</v>
      </c>
      <c r="E55" s="65"/>
      <c r="F55" s="65"/>
      <c r="G55" s="65"/>
      <c r="H55" s="65"/>
    </row>
    <row r="56" spans="1:10" ht="15" customHeight="1" x14ac:dyDescent="0.35">
      <c r="A56" s="4"/>
      <c r="B56" s="27" t="s">
        <v>52</v>
      </c>
      <c r="C56" s="28" t="s">
        <v>53</v>
      </c>
      <c r="D56" s="67" t="s">
        <v>54</v>
      </c>
      <c r="E56" s="68"/>
      <c r="F56" s="68"/>
      <c r="G56" s="68"/>
      <c r="H56" s="68"/>
    </row>
    <row r="57" spans="1:10" ht="15" customHeight="1" x14ac:dyDescent="0.35">
      <c r="A57" s="4"/>
      <c r="B57" s="27" t="s">
        <v>55</v>
      </c>
      <c r="C57" s="28" t="s">
        <v>56</v>
      </c>
      <c r="D57" s="67" t="s">
        <v>57</v>
      </c>
      <c r="E57" s="68"/>
      <c r="F57" s="68"/>
      <c r="G57" s="68"/>
      <c r="H57" s="68"/>
    </row>
    <row r="58" spans="1:10" ht="15" customHeight="1" x14ac:dyDescent="0.35">
      <c r="A58" s="29"/>
      <c r="B58" s="30" t="s">
        <v>58</v>
      </c>
      <c r="C58" s="31" t="s">
        <v>59</v>
      </c>
      <c r="D58" s="64" t="s">
        <v>60</v>
      </c>
      <c r="E58" s="65"/>
      <c r="F58" s="65"/>
      <c r="G58" s="65"/>
      <c r="H58" s="65"/>
    </row>
    <row r="59" spans="1:10" ht="15" customHeight="1" x14ac:dyDescent="0.35">
      <c r="A59" s="4"/>
      <c r="B59" s="27" t="s">
        <v>61</v>
      </c>
      <c r="C59" s="28" t="s">
        <v>62</v>
      </c>
      <c r="D59" s="67" t="s">
        <v>138</v>
      </c>
      <c r="E59" s="68"/>
      <c r="F59" s="68"/>
      <c r="G59" s="68"/>
      <c r="H59" s="68"/>
      <c r="J59">
        <f>52000000+8000000</f>
        <v>60000000</v>
      </c>
    </row>
    <row r="60" spans="1:10" ht="15" customHeight="1" x14ac:dyDescent="0.35">
      <c r="A60" s="29"/>
      <c r="B60" s="30" t="s">
        <v>63</v>
      </c>
      <c r="C60" s="31" t="s">
        <v>139</v>
      </c>
      <c r="D60" s="64" t="s">
        <v>64</v>
      </c>
      <c r="E60" s="65"/>
      <c r="F60" s="65"/>
      <c r="G60" s="65"/>
      <c r="H60" s="65"/>
    </row>
    <row r="62" spans="1:10" ht="13" customHeight="1" x14ac:dyDescent="0.35">
      <c r="B62" s="62" t="s">
        <v>65</v>
      </c>
      <c r="C62" s="63"/>
      <c r="D62" s="63"/>
      <c r="E62" s="63"/>
      <c r="F62" s="63"/>
      <c r="G62" s="63"/>
      <c r="H62" s="63"/>
    </row>
    <row r="63" spans="1:10" ht="13" customHeight="1" x14ac:dyDescent="0.35">
      <c r="B63" s="62" t="s">
        <v>66</v>
      </c>
      <c r="C63" s="63"/>
      <c r="D63" s="63"/>
      <c r="E63" s="63"/>
      <c r="F63" s="63"/>
      <c r="G63" s="63"/>
      <c r="H63" s="63"/>
    </row>
    <row r="64" spans="1:10" ht="13" customHeight="1" x14ac:dyDescent="0.35">
      <c r="B64" s="62" t="s">
        <v>67</v>
      </c>
      <c r="C64" s="63"/>
      <c r="D64" s="63"/>
      <c r="E64" s="63"/>
      <c r="F64" s="63"/>
      <c r="G64" s="63"/>
      <c r="H64" s="63"/>
    </row>
    <row r="65" spans="2:8" ht="13" customHeight="1" x14ac:dyDescent="0.35">
      <c r="B65" s="62" t="s">
        <v>68</v>
      </c>
      <c r="C65" s="63"/>
      <c r="D65" s="63"/>
      <c r="E65" s="63"/>
      <c r="F65" s="63"/>
      <c r="G65" s="63"/>
      <c r="H65" s="63"/>
    </row>
    <row r="66" spans="2:8" ht="13" customHeight="1" x14ac:dyDescent="0.35">
      <c r="B66" s="62" t="s">
        <v>69</v>
      </c>
      <c r="C66" s="63"/>
      <c r="D66" s="63"/>
      <c r="E66" s="63"/>
      <c r="F66" s="63"/>
      <c r="G66" s="63"/>
      <c r="H66" s="63"/>
    </row>
    <row r="67" spans="2:8" ht="13" customHeight="1" x14ac:dyDescent="0.35">
      <c r="B67" s="62" t="s">
        <v>70</v>
      </c>
      <c r="C67" s="63"/>
      <c r="D67" s="63"/>
      <c r="E67" s="63"/>
      <c r="F67" s="63"/>
      <c r="G67" s="63"/>
      <c r="H67" s="63"/>
    </row>
  </sheetData>
  <mergeCells count="18">
    <mergeCell ref="B62:H62"/>
    <mergeCell ref="B1:H1"/>
    <mergeCell ref="D54:H54"/>
    <mergeCell ref="B67:H67"/>
    <mergeCell ref="D53:H53"/>
    <mergeCell ref="B2:H2"/>
    <mergeCell ref="D60:H60"/>
    <mergeCell ref="D55:H55"/>
    <mergeCell ref="B65:H65"/>
    <mergeCell ref="D56:H56"/>
    <mergeCell ref="D59:H59"/>
    <mergeCell ref="B64:H64"/>
    <mergeCell ref="D52:H52"/>
    <mergeCell ref="B51:H51"/>
    <mergeCell ref="D57:H57"/>
    <mergeCell ref="D58:H58"/>
    <mergeCell ref="B63:H63"/>
    <mergeCell ref="B66:H66"/>
  </mergeCells>
  <pageMargins left="0.75" right="0.75" top="1" bottom="1" header="0.5" footer="0.5"/>
  <headerFooter>
    <oddHeader>&amp;C&amp;G</oddHeader>
    <oddFooter>&amp;C_x000D_&amp;1#&amp;"Aptos"&amp;13&amp;K000000 Internal - Midofficedata.com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36" customWidth="1"/>
    <col min="3" max="15" width="11" customWidth="1"/>
  </cols>
  <sheetData>
    <row r="1" spans="1:15" ht="24" customHeight="1" x14ac:dyDescent="0.35">
      <c r="B1" s="71" t="s">
        <v>71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3" spans="1:15" ht="20" customHeight="1" x14ac:dyDescent="0.35">
      <c r="B3" s="32" t="s">
        <v>2</v>
      </c>
      <c r="C3" s="33" t="s">
        <v>72</v>
      </c>
      <c r="D3" s="33" t="s">
        <v>73</v>
      </c>
      <c r="E3" s="33" t="s">
        <v>74</v>
      </c>
      <c r="F3" s="33" t="s">
        <v>75</v>
      </c>
      <c r="G3" s="33" t="s">
        <v>76</v>
      </c>
      <c r="H3" s="33" t="s">
        <v>77</v>
      </c>
      <c r="I3" s="33" t="s">
        <v>78</v>
      </c>
      <c r="J3" s="33" t="s">
        <v>79</v>
      </c>
      <c r="K3" s="33" t="s">
        <v>80</v>
      </c>
      <c r="L3" s="34" t="s">
        <v>81</v>
      </c>
      <c r="M3" s="34" t="s">
        <v>82</v>
      </c>
      <c r="N3" s="34" t="s">
        <v>83</v>
      </c>
    </row>
    <row r="4" spans="1:15" ht="18" customHeight="1" x14ac:dyDescent="0.35">
      <c r="A4" s="15"/>
      <c r="B4" s="35" t="s">
        <v>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5" ht="14" customHeight="1" x14ac:dyDescent="0.35">
      <c r="A5" s="4"/>
      <c r="B5" s="5" t="s">
        <v>84</v>
      </c>
      <c r="C5" s="36">
        <v>0</v>
      </c>
      <c r="D5" s="36">
        <v>0</v>
      </c>
      <c r="E5" s="36">
        <v>0</v>
      </c>
      <c r="F5" s="36">
        <v>0</v>
      </c>
      <c r="G5" s="36">
        <v>9000000</v>
      </c>
      <c r="H5" s="36">
        <v>0</v>
      </c>
      <c r="I5" s="36">
        <v>9000000</v>
      </c>
      <c r="J5" s="36">
        <v>0</v>
      </c>
      <c r="K5" s="36">
        <v>9000000</v>
      </c>
      <c r="L5" s="36">
        <v>0</v>
      </c>
      <c r="M5" s="36">
        <v>9000000</v>
      </c>
      <c r="N5" s="36">
        <v>0</v>
      </c>
    </row>
    <row r="6" spans="1:15" ht="14" customHeight="1" x14ac:dyDescent="0.35">
      <c r="A6" s="4"/>
      <c r="B6" s="5" t="s">
        <v>85</v>
      </c>
      <c r="C6" s="36">
        <v>0</v>
      </c>
      <c r="D6" s="36">
        <v>0</v>
      </c>
      <c r="E6" s="36">
        <v>0</v>
      </c>
      <c r="F6" s="36">
        <v>0</v>
      </c>
      <c r="G6" s="36">
        <v>1248750</v>
      </c>
      <c r="H6" s="36">
        <v>0</v>
      </c>
      <c r="I6" s="36">
        <v>0</v>
      </c>
      <c r="J6" s="36">
        <v>168750</v>
      </c>
      <c r="K6" s="36">
        <v>0</v>
      </c>
      <c r="L6" s="36">
        <v>0</v>
      </c>
      <c r="M6" s="36">
        <v>0</v>
      </c>
      <c r="N6" s="36">
        <v>162000</v>
      </c>
    </row>
    <row r="7" spans="1:15" ht="14" customHeight="1" x14ac:dyDescent="0.35">
      <c r="A7" s="4"/>
      <c r="B7" s="5" t="s">
        <v>86</v>
      </c>
      <c r="C7" s="36">
        <v>99543</v>
      </c>
      <c r="D7" s="36">
        <v>99543</v>
      </c>
      <c r="E7" s="36">
        <v>99543</v>
      </c>
      <c r="F7" s="36">
        <v>99543</v>
      </c>
      <c r="G7" s="36">
        <v>99543</v>
      </c>
      <c r="H7" s="36">
        <v>99543</v>
      </c>
      <c r="I7" s="36">
        <v>99543</v>
      </c>
      <c r="J7" s="36">
        <v>99543</v>
      </c>
      <c r="K7" s="36">
        <v>99543</v>
      </c>
      <c r="L7" s="36">
        <v>99543</v>
      </c>
      <c r="M7" s="36">
        <v>99543</v>
      </c>
      <c r="N7" s="36">
        <v>99543</v>
      </c>
    </row>
    <row r="8" spans="1:15" ht="14" customHeight="1" x14ac:dyDescent="0.35">
      <c r="A8" s="10"/>
      <c r="B8" s="11" t="s">
        <v>11</v>
      </c>
      <c r="C8" s="37">
        <v>99543</v>
      </c>
      <c r="D8" s="37">
        <v>99543</v>
      </c>
      <c r="E8" s="37">
        <v>99543</v>
      </c>
      <c r="F8" s="37">
        <v>99543</v>
      </c>
      <c r="G8" s="37">
        <v>10348293</v>
      </c>
      <c r="H8" s="37">
        <v>99543</v>
      </c>
      <c r="I8" s="37">
        <v>9099543</v>
      </c>
      <c r="J8" s="37">
        <v>268293</v>
      </c>
      <c r="K8" s="37">
        <v>9099543</v>
      </c>
      <c r="L8" s="37">
        <v>99543</v>
      </c>
      <c r="M8" s="37">
        <v>9099543</v>
      </c>
      <c r="N8" s="37">
        <v>261543</v>
      </c>
    </row>
    <row r="9" spans="1:15" ht="18" customHeight="1" x14ac:dyDescent="0.35">
      <c r="A9" s="15"/>
      <c r="B9" s="35" t="s">
        <v>87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5" ht="14" customHeight="1" x14ac:dyDescent="0.35">
      <c r="A10" s="38"/>
      <c r="B10" s="39" t="s">
        <v>88</v>
      </c>
      <c r="C10" s="40">
        <v>0</v>
      </c>
      <c r="D10" s="40">
        <v>0</v>
      </c>
      <c r="E10" s="40">
        <v>0</v>
      </c>
      <c r="F10" s="40">
        <v>215732</v>
      </c>
      <c r="G10" s="40">
        <v>259062</v>
      </c>
      <c r="H10" s="40">
        <v>1816373</v>
      </c>
      <c r="I10" s="40">
        <v>2327243</v>
      </c>
      <c r="J10" s="40">
        <v>2805132</v>
      </c>
      <c r="K10" s="40">
        <v>2355132</v>
      </c>
      <c r="L10" s="40">
        <v>1580132</v>
      </c>
      <c r="M10" s="40">
        <v>2120132</v>
      </c>
      <c r="N10" s="40">
        <v>4772591</v>
      </c>
    </row>
    <row r="11" spans="1:15" ht="14" customHeight="1" x14ac:dyDescent="0.35">
      <c r="A11" s="10"/>
      <c r="B11" s="11" t="s">
        <v>16</v>
      </c>
      <c r="C11" s="37">
        <v>99543</v>
      </c>
      <c r="D11" s="37">
        <v>99543</v>
      </c>
      <c r="E11" s="37">
        <v>99543</v>
      </c>
      <c r="F11" s="37">
        <v>-116189</v>
      </c>
      <c r="G11" s="37">
        <v>10089231</v>
      </c>
      <c r="H11" s="37">
        <v>-1716830</v>
      </c>
      <c r="I11" s="37">
        <v>6772300</v>
      </c>
      <c r="J11" s="37">
        <v>-2536839</v>
      </c>
      <c r="K11" s="37">
        <v>6744411</v>
      </c>
      <c r="L11" s="37">
        <v>-1480589</v>
      </c>
      <c r="M11" s="37">
        <v>6979411</v>
      </c>
      <c r="N11" s="37">
        <v>-4511048</v>
      </c>
    </row>
    <row r="12" spans="1:15" ht="18" customHeight="1" x14ac:dyDescent="0.35">
      <c r="A12" s="15"/>
      <c r="B12" s="35" t="s">
        <v>89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5" ht="14" customHeight="1" x14ac:dyDescent="0.35">
      <c r="A13" s="19"/>
      <c r="B13" s="41" t="s">
        <v>90</v>
      </c>
      <c r="C13" s="42">
        <v>1125000</v>
      </c>
      <c r="D13" s="42">
        <v>1125000</v>
      </c>
      <c r="E13" s="42">
        <v>1125000</v>
      </c>
      <c r="F13" s="42">
        <v>1125000</v>
      </c>
      <c r="G13" s="42">
        <v>1125000</v>
      </c>
      <c r="H13" s="42">
        <v>562500</v>
      </c>
      <c r="I13" s="42">
        <v>562500</v>
      </c>
      <c r="J13" s="42">
        <v>562500</v>
      </c>
      <c r="K13" s="42">
        <v>562500</v>
      </c>
      <c r="L13" s="42">
        <v>562500</v>
      </c>
      <c r="M13" s="42">
        <v>562500</v>
      </c>
      <c r="N13" s="42">
        <v>562500</v>
      </c>
    </row>
    <row r="14" spans="1:15" ht="14" customHeight="1" x14ac:dyDescent="0.35">
      <c r="A14" s="19"/>
      <c r="B14" s="41" t="s">
        <v>91</v>
      </c>
      <c r="C14" s="42">
        <v>0</v>
      </c>
      <c r="D14" s="42">
        <v>92000</v>
      </c>
      <c r="E14" s="42">
        <v>521</v>
      </c>
      <c r="F14" s="42">
        <v>92000</v>
      </c>
      <c r="G14" s="42">
        <v>46000</v>
      </c>
      <c r="H14" s="42">
        <v>88247</v>
      </c>
      <c r="I14" s="42">
        <v>0</v>
      </c>
      <c r="J14" s="42">
        <v>0</v>
      </c>
      <c r="K14" s="42">
        <v>0</v>
      </c>
      <c r="L14" s="42">
        <v>53000</v>
      </c>
      <c r="M14" s="42">
        <v>35000</v>
      </c>
      <c r="N14" s="42">
        <v>18990</v>
      </c>
    </row>
    <row r="15" spans="1:15" ht="14" customHeight="1" x14ac:dyDescent="0.35">
      <c r="A15" s="19"/>
      <c r="B15" s="41" t="s">
        <v>92</v>
      </c>
      <c r="C15" s="42">
        <v>96954</v>
      </c>
      <c r="D15" s="42">
        <v>0</v>
      </c>
      <c r="E15" s="42">
        <v>13367</v>
      </c>
      <c r="F15" s="42">
        <v>169956</v>
      </c>
      <c r="G15" s="42">
        <v>0</v>
      </c>
      <c r="H15" s="42">
        <v>0</v>
      </c>
      <c r="I15" s="42">
        <v>267000</v>
      </c>
      <c r="J15" s="42">
        <v>0</v>
      </c>
      <c r="K15" s="42">
        <v>0</v>
      </c>
      <c r="L15" s="42">
        <v>108645</v>
      </c>
      <c r="M15" s="42">
        <v>108645</v>
      </c>
      <c r="N15" s="42">
        <v>108646</v>
      </c>
    </row>
    <row r="16" spans="1:15" ht="14" customHeight="1" x14ac:dyDescent="0.35">
      <c r="A16" s="19"/>
      <c r="B16" s="41" t="s">
        <v>93</v>
      </c>
      <c r="C16" s="42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58031</v>
      </c>
      <c r="J16" s="42">
        <v>26000</v>
      </c>
      <c r="K16" s="42">
        <v>10000</v>
      </c>
      <c r="L16" s="42">
        <v>0</v>
      </c>
      <c r="M16" s="42">
        <v>0</v>
      </c>
      <c r="N16" s="42">
        <v>0</v>
      </c>
    </row>
    <row r="17" spans="1:14" ht="14" customHeight="1" x14ac:dyDescent="0.35">
      <c r="A17" s="19"/>
      <c r="B17" s="20" t="s">
        <v>94</v>
      </c>
      <c r="C17" s="43">
        <v>1221954</v>
      </c>
      <c r="D17" s="43">
        <v>1217000</v>
      </c>
      <c r="E17" s="43">
        <v>1138888</v>
      </c>
      <c r="F17" s="43">
        <v>1386956</v>
      </c>
      <c r="G17" s="43">
        <v>1171000</v>
      </c>
      <c r="H17" s="43">
        <v>650747</v>
      </c>
      <c r="I17" s="43">
        <v>887531</v>
      </c>
      <c r="J17" s="43">
        <v>588500</v>
      </c>
      <c r="K17" s="43">
        <v>572500</v>
      </c>
      <c r="L17" s="43">
        <v>724145</v>
      </c>
      <c r="M17" s="43">
        <v>706145</v>
      </c>
      <c r="N17" s="43">
        <v>690136</v>
      </c>
    </row>
    <row r="18" spans="1:14" ht="18" customHeight="1" x14ac:dyDescent="0.35">
      <c r="A18" s="15"/>
      <c r="B18" s="35" t="s">
        <v>95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4" customHeight="1" x14ac:dyDescent="0.35">
      <c r="A19" s="21"/>
      <c r="B19" s="44" t="s">
        <v>96</v>
      </c>
      <c r="C19" s="45">
        <v>1491667</v>
      </c>
      <c r="D19" s="45">
        <v>1491667</v>
      </c>
      <c r="E19" s="45">
        <v>1458333</v>
      </c>
      <c r="F19" s="45">
        <v>1164214</v>
      </c>
      <c r="G19" s="45">
        <v>1384404</v>
      </c>
      <c r="H19" s="45">
        <v>353751</v>
      </c>
      <c r="I19" s="45">
        <v>350984</v>
      </c>
      <c r="J19" s="45">
        <v>392651</v>
      </c>
      <c r="K19" s="45">
        <v>392651</v>
      </c>
      <c r="L19" s="45">
        <v>443216</v>
      </c>
      <c r="M19" s="45">
        <v>443216</v>
      </c>
      <c r="N19" s="45">
        <v>1697167</v>
      </c>
    </row>
    <row r="20" spans="1:14" ht="14" customHeight="1" x14ac:dyDescent="0.35">
      <c r="A20" s="21"/>
      <c r="B20" s="44" t="s">
        <v>97</v>
      </c>
      <c r="C20" s="45">
        <v>1900000</v>
      </c>
      <c r="D20" s="45">
        <v>22950</v>
      </c>
      <c r="E20" s="45">
        <v>588951</v>
      </c>
      <c r="F20" s="45">
        <v>648000</v>
      </c>
      <c r="G20" s="45">
        <v>708000</v>
      </c>
      <c r="H20" s="45">
        <v>428375</v>
      </c>
      <c r="I20" s="45">
        <v>356000</v>
      </c>
      <c r="J20" s="45">
        <v>356000</v>
      </c>
      <c r="K20" s="45">
        <v>356000</v>
      </c>
      <c r="L20" s="45">
        <v>324000</v>
      </c>
      <c r="M20" s="45">
        <v>324000</v>
      </c>
      <c r="N20" s="45">
        <v>400000</v>
      </c>
    </row>
    <row r="21" spans="1:14" ht="14" customHeight="1" x14ac:dyDescent="0.35">
      <c r="A21" s="21"/>
      <c r="B21" s="44" t="s">
        <v>98</v>
      </c>
      <c r="C21" s="45">
        <v>38420</v>
      </c>
      <c r="D21" s="45">
        <v>53465</v>
      </c>
      <c r="E21" s="45">
        <v>81734</v>
      </c>
      <c r="F21" s="45">
        <v>90377</v>
      </c>
      <c r="G21" s="45">
        <v>55848</v>
      </c>
      <c r="H21" s="45">
        <v>84445</v>
      </c>
      <c r="I21" s="45">
        <v>540377</v>
      </c>
      <c r="J21" s="45">
        <v>65797</v>
      </c>
      <c r="K21" s="45">
        <v>65797</v>
      </c>
      <c r="L21" s="45">
        <v>56000</v>
      </c>
      <c r="M21" s="45">
        <v>56000</v>
      </c>
      <c r="N21" s="45">
        <v>53004</v>
      </c>
    </row>
    <row r="22" spans="1:14" ht="14" customHeight="1" x14ac:dyDescent="0.35">
      <c r="A22" s="21"/>
      <c r="B22" s="22" t="s">
        <v>99</v>
      </c>
      <c r="C22" s="46">
        <v>3430087</v>
      </c>
      <c r="D22" s="46">
        <v>1568082</v>
      </c>
      <c r="E22" s="46">
        <v>2129018</v>
      </c>
      <c r="F22" s="46">
        <v>1902591</v>
      </c>
      <c r="G22" s="46">
        <v>2148252</v>
      </c>
      <c r="H22" s="46">
        <v>866571</v>
      </c>
      <c r="I22" s="46">
        <v>1247361</v>
      </c>
      <c r="J22" s="46">
        <v>814448</v>
      </c>
      <c r="K22" s="46">
        <v>814448</v>
      </c>
      <c r="L22" s="46">
        <v>823216</v>
      </c>
      <c r="M22" s="46">
        <v>823216</v>
      </c>
      <c r="N22" s="46">
        <v>2150171</v>
      </c>
    </row>
    <row r="23" spans="1:14" ht="18" customHeight="1" x14ac:dyDescent="0.35">
      <c r="A23" s="15"/>
      <c r="B23" s="35" t="s">
        <v>100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4" customHeight="1" x14ac:dyDescent="0.35">
      <c r="A24" s="23"/>
      <c r="B24" s="47" t="s">
        <v>101</v>
      </c>
      <c r="C24" s="48">
        <v>67000</v>
      </c>
      <c r="D24" s="48">
        <v>67000</v>
      </c>
      <c r="E24" s="48">
        <v>67000</v>
      </c>
      <c r="F24" s="48">
        <v>67000</v>
      </c>
      <c r="G24" s="48">
        <v>67000</v>
      </c>
      <c r="H24" s="48">
        <v>67000</v>
      </c>
      <c r="I24" s="48">
        <v>60760</v>
      </c>
      <c r="J24" s="48">
        <v>60760</v>
      </c>
      <c r="K24" s="48">
        <v>60760</v>
      </c>
      <c r="L24" s="48">
        <v>50760</v>
      </c>
      <c r="M24" s="48">
        <v>50760</v>
      </c>
      <c r="N24" s="48">
        <v>50760</v>
      </c>
    </row>
    <row r="25" spans="1:14" ht="14" customHeight="1" x14ac:dyDescent="0.35">
      <c r="A25" s="23"/>
      <c r="B25" s="47" t="s">
        <v>102</v>
      </c>
      <c r="C25" s="48">
        <v>14000</v>
      </c>
      <c r="D25" s="48">
        <v>0</v>
      </c>
      <c r="E25" s="48">
        <v>0</v>
      </c>
      <c r="F25" s="48">
        <v>0</v>
      </c>
      <c r="G25" s="48">
        <v>0</v>
      </c>
      <c r="H25" s="48">
        <v>0</v>
      </c>
      <c r="I25" s="48">
        <v>0</v>
      </c>
      <c r="J25" s="48">
        <v>0</v>
      </c>
      <c r="K25" s="48">
        <v>311500</v>
      </c>
      <c r="L25" s="48">
        <v>189416</v>
      </c>
      <c r="M25" s="48">
        <v>189416</v>
      </c>
      <c r="N25" s="48">
        <v>189415</v>
      </c>
    </row>
    <row r="26" spans="1:14" ht="14" customHeight="1" x14ac:dyDescent="0.35">
      <c r="A26" s="23"/>
      <c r="B26" s="47" t="s">
        <v>103</v>
      </c>
      <c r="C26" s="48">
        <v>15720</v>
      </c>
      <c r="D26" s="48">
        <v>16000</v>
      </c>
      <c r="E26" s="48">
        <v>33749</v>
      </c>
      <c r="F26" s="48">
        <v>17250</v>
      </c>
      <c r="G26" s="48">
        <v>0</v>
      </c>
      <c r="H26" s="48">
        <v>30000</v>
      </c>
      <c r="I26" s="48">
        <v>19000</v>
      </c>
      <c r="J26" s="48">
        <v>0</v>
      </c>
      <c r="K26" s="48">
        <v>30000</v>
      </c>
      <c r="L26" s="48">
        <v>10883</v>
      </c>
      <c r="M26" s="48">
        <v>10883</v>
      </c>
      <c r="N26" s="48">
        <v>10884</v>
      </c>
    </row>
    <row r="27" spans="1:14" ht="14" customHeight="1" x14ac:dyDescent="0.35">
      <c r="A27" s="23"/>
      <c r="B27" s="47" t="s">
        <v>104</v>
      </c>
      <c r="C27" s="48">
        <v>0</v>
      </c>
      <c r="D27" s="48">
        <v>128239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23000</v>
      </c>
      <c r="K27" s="48">
        <v>0</v>
      </c>
      <c r="L27" s="48">
        <v>0</v>
      </c>
      <c r="M27" s="48">
        <v>0</v>
      </c>
      <c r="N27" s="48">
        <v>0</v>
      </c>
    </row>
    <row r="28" spans="1:14" ht="14" customHeight="1" x14ac:dyDescent="0.35">
      <c r="A28" s="23"/>
      <c r="B28" s="47" t="s">
        <v>105</v>
      </c>
      <c r="C28" s="48">
        <v>71008</v>
      </c>
      <c r="D28" s="48">
        <v>16939</v>
      </c>
      <c r="E28" s="48">
        <v>444</v>
      </c>
      <c r="F28" s="48">
        <v>1726</v>
      </c>
      <c r="G28" s="48">
        <v>72</v>
      </c>
      <c r="H28" s="48">
        <v>693</v>
      </c>
      <c r="I28" s="48">
        <v>1726</v>
      </c>
      <c r="J28" s="48">
        <v>72</v>
      </c>
      <c r="K28" s="48">
        <v>693</v>
      </c>
      <c r="L28" s="48">
        <v>7259</v>
      </c>
      <c r="M28" s="48">
        <v>8154</v>
      </c>
      <c r="N28" s="48">
        <v>7261</v>
      </c>
    </row>
    <row r="29" spans="1:14" ht="14" customHeight="1" x14ac:dyDescent="0.35">
      <c r="A29" s="23"/>
      <c r="B29" s="24" t="s">
        <v>106</v>
      </c>
      <c r="C29" s="49">
        <v>167728</v>
      </c>
      <c r="D29" s="49">
        <v>228178</v>
      </c>
      <c r="E29" s="49">
        <v>101193</v>
      </c>
      <c r="F29" s="49">
        <v>85976</v>
      </c>
      <c r="G29" s="49">
        <v>67072</v>
      </c>
      <c r="H29" s="49">
        <v>97693</v>
      </c>
      <c r="I29" s="49">
        <v>81486</v>
      </c>
      <c r="J29" s="49">
        <v>83832</v>
      </c>
      <c r="K29" s="49">
        <v>402953</v>
      </c>
      <c r="L29" s="49">
        <v>258318</v>
      </c>
      <c r="M29" s="49">
        <v>259213</v>
      </c>
      <c r="N29" s="49">
        <v>258320</v>
      </c>
    </row>
    <row r="30" spans="1:14" ht="14" customHeight="1" x14ac:dyDescent="0.35">
      <c r="A30" s="13"/>
      <c r="B30" s="50" t="s">
        <v>107</v>
      </c>
      <c r="C30" s="51">
        <v>4819769</v>
      </c>
      <c r="D30" s="51">
        <v>3013260</v>
      </c>
      <c r="E30" s="51">
        <v>3369099</v>
      </c>
      <c r="F30" s="51">
        <v>3375523</v>
      </c>
      <c r="G30" s="51">
        <v>3386324</v>
      </c>
      <c r="H30" s="51">
        <v>1615011</v>
      </c>
      <c r="I30" s="51">
        <v>2216378</v>
      </c>
      <c r="J30" s="51">
        <v>1486780</v>
      </c>
      <c r="K30" s="51">
        <v>1789901</v>
      </c>
      <c r="L30" s="51">
        <v>1805679</v>
      </c>
      <c r="M30" s="51">
        <v>1788574</v>
      </c>
      <c r="N30" s="51">
        <v>3098627</v>
      </c>
    </row>
    <row r="31" spans="1:14" ht="18" customHeight="1" x14ac:dyDescent="0.35">
      <c r="A31" s="15"/>
      <c r="B31" s="35" t="s">
        <v>108</v>
      </c>
      <c r="C31" s="52">
        <v>-4720226</v>
      </c>
      <c r="D31" s="52">
        <v>-2913717</v>
      </c>
      <c r="E31" s="52">
        <v>-3269556</v>
      </c>
      <c r="F31" s="52">
        <v>-3491712</v>
      </c>
      <c r="G31" s="52">
        <v>6702907</v>
      </c>
      <c r="H31" s="52">
        <v>-3331841</v>
      </c>
      <c r="I31" s="52">
        <v>4555922</v>
      </c>
      <c r="J31" s="52">
        <v>-4023619</v>
      </c>
      <c r="K31" s="52">
        <v>4954510</v>
      </c>
      <c r="L31" s="52">
        <v>-3286268</v>
      </c>
      <c r="M31" s="52">
        <v>5190837</v>
      </c>
      <c r="N31" s="52">
        <v>-7609675</v>
      </c>
    </row>
  </sheetData>
  <mergeCells count="1">
    <mergeCell ref="B1:O1"/>
  </mergeCells>
  <pageMargins left="0.75" right="0.75" top="1" bottom="1" header="0.5" footer="0.5"/>
  <headerFooter>
    <oddHeader>&amp;C&amp;G</oddHeader>
    <oddFooter>&amp;C_x000D_&amp;1#&amp;"Aptos"&amp;13&amp;K000000 Internal - Midofficedata.com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28" customWidth="1"/>
    <col min="3" max="15" width="10" customWidth="1"/>
  </cols>
  <sheetData>
    <row r="1" spans="1:17" ht="24" customHeight="1" x14ac:dyDescent="0.35">
      <c r="B1" s="73" t="s">
        <v>109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3" spans="1:17" ht="20" customHeight="1" x14ac:dyDescent="0.35">
      <c r="A3" s="33"/>
      <c r="B3" s="33" t="s">
        <v>110</v>
      </c>
      <c r="C3" s="33" t="s">
        <v>111</v>
      </c>
      <c r="D3" s="33" t="s">
        <v>112</v>
      </c>
      <c r="E3" s="33" t="s">
        <v>72</v>
      </c>
      <c r="F3" s="33" t="s">
        <v>73</v>
      </c>
      <c r="G3" s="33" t="s">
        <v>74</v>
      </c>
      <c r="H3" s="33" t="s">
        <v>75</v>
      </c>
      <c r="I3" s="33" t="s">
        <v>76</v>
      </c>
      <c r="J3" s="33" t="s">
        <v>77</v>
      </c>
      <c r="K3" s="33" t="s">
        <v>78</v>
      </c>
      <c r="L3" s="33" t="s">
        <v>79</v>
      </c>
      <c r="M3" s="33" t="s">
        <v>80</v>
      </c>
      <c r="N3" s="33" t="s">
        <v>81</v>
      </c>
      <c r="O3" s="33" t="s">
        <v>82</v>
      </c>
      <c r="P3" s="33" t="s">
        <v>83</v>
      </c>
      <c r="Q3" s="33" t="s">
        <v>113</v>
      </c>
    </row>
    <row r="4" spans="1:17" ht="20" customHeight="1" x14ac:dyDescent="0.35">
      <c r="B4" s="53" t="s">
        <v>114</v>
      </c>
      <c r="C4" s="54" t="s">
        <v>115</v>
      </c>
      <c r="D4" s="55" t="s">
        <v>116</v>
      </c>
      <c r="E4" s="56">
        <v>0</v>
      </c>
      <c r="F4" s="56">
        <v>0</v>
      </c>
      <c r="G4" s="56">
        <v>0</v>
      </c>
      <c r="H4" s="56">
        <v>65312</v>
      </c>
      <c r="I4" s="56">
        <v>65312</v>
      </c>
      <c r="J4" s="56">
        <v>261250</v>
      </c>
      <c r="K4" s="56">
        <v>261250</v>
      </c>
      <c r="L4" s="56">
        <v>261250</v>
      </c>
      <c r="M4" s="56">
        <v>261250</v>
      </c>
      <c r="N4" s="56">
        <v>261250</v>
      </c>
      <c r="O4" s="56">
        <v>261250</v>
      </c>
      <c r="P4" s="56">
        <v>1375000</v>
      </c>
      <c r="Q4" s="56">
        <v>3073124</v>
      </c>
    </row>
    <row r="5" spans="1:17" ht="14" customHeight="1" x14ac:dyDescent="0.35">
      <c r="B5" s="57" t="s">
        <v>117</v>
      </c>
      <c r="C5" s="58" t="s">
        <v>118</v>
      </c>
      <c r="D5" s="59" t="s">
        <v>116</v>
      </c>
      <c r="E5" s="60">
        <v>0</v>
      </c>
      <c r="F5" s="60">
        <v>0</v>
      </c>
      <c r="G5" s="60">
        <v>0</v>
      </c>
      <c r="H5" s="60">
        <v>0</v>
      </c>
      <c r="I5" s="60">
        <v>0</v>
      </c>
      <c r="J5" s="60">
        <v>169419</v>
      </c>
      <c r="K5" s="60">
        <v>169419</v>
      </c>
      <c r="L5" s="60">
        <v>169419</v>
      </c>
      <c r="M5" s="60">
        <v>169419</v>
      </c>
      <c r="N5" s="60">
        <v>169419</v>
      </c>
      <c r="O5" s="60">
        <v>169419</v>
      </c>
      <c r="P5" s="60">
        <v>463133</v>
      </c>
      <c r="Q5" s="60">
        <v>1479647</v>
      </c>
    </row>
    <row r="6" spans="1:17" ht="14" customHeight="1" x14ac:dyDescent="0.35">
      <c r="B6" s="53" t="s">
        <v>119</v>
      </c>
      <c r="C6" s="54" t="s">
        <v>118</v>
      </c>
      <c r="D6" s="55" t="s">
        <v>116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323815</v>
      </c>
      <c r="K6" s="56">
        <v>323815</v>
      </c>
      <c r="L6" s="56">
        <v>323815</v>
      </c>
      <c r="M6" s="56">
        <v>323815</v>
      </c>
      <c r="N6" s="56">
        <v>323815</v>
      </c>
      <c r="O6" s="56">
        <v>323815</v>
      </c>
      <c r="P6" s="56">
        <v>676667</v>
      </c>
      <c r="Q6" s="56">
        <v>2619557</v>
      </c>
    </row>
    <row r="7" spans="1:17" ht="14" customHeight="1" x14ac:dyDescent="0.35">
      <c r="B7" s="57" t="s">
        <v>120</v>
      </c>
      <c r="C7" s="58" t="s">
        <v>118</v>
      </c>
      <c r="D7" s="59" t="s">
        <v>116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148148</v>
      </c>
      <c r="K7" s="60">
        <v>148148</v>
      </c>
      <c r="L7" s="60">
        <v>148148</v>
      </c>
      <c r="M7" s="60">
        <v>148148</v>
      </c>
      <c r="N7" s="60">
        <v>148148</v>
      </c>
      <c r="O7" s="60">
        <v>148148</v>
      </c>
      <c r="P7" s="60">
        <v>520000</v>
      </c>
      <c r="Q7" s="60">
        <v>1408888</v>
      </c>
    </row>
    <row r="8" spans="1:17" ht="14" customHeight="1" x14ac:dyDescent="0.35">
      <c r="B8" s="53" t="s">
        <v>121</v>
      </c>
      <c r="C8" s="54" t="s">
        <v>118</v>
      </c>
      <c r="D8" s="55" t="s">
        <v>116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60000</v>
      </c>
      <c r="K8" s="56">
        <v>60000</v>
      </c>
      <c r="L8" s="56">
        <v>60000</v>
      </c>
      <c r="M8" s="56">
        <v>60000</v>
      </c>
      <c r="N8" s="56">
        <v>60000</v>
      </c>
      <c r="O8" s="56">
        <v>60000</v>
      </c>
      <c r="P8" s="56">
        <v>185500</v>
      </c>
      <c r="Q8" s="56">
        <v>545500</v>
      </c>
    </row>
    <row r="9" spans="1:17" ht="14" customHeight="1" x14ac:dyDescent="0.35">
      <c r="B9" s="57" t="s">
        <v>122</v>
      </c>
      <c r="C9" s="58" t="s">
        <v>123</v>
      </c>
      <c r="D9" s="59" t="s">
        <v>116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0">
        <v>0</v>
      </c>
      <c r="K9" s="60">
        <v>0</v>
      </c>
      <c r="L9" s="60">
        <v>0</v>
      </c>
      <c r="M9" s="60">
        <v>0</v>
      </c>
      <c r="N9" s="60">
        <v>55000</v>
      </c>
      <c r="O9" s="60">
        <v>55000</v>
      </c>
      <c r="P9" s="60">
        <v>101371</v>
      </c>
      <c r="Q9" s="60">
        <v>211371</v>
      </c>
    </row>
    <row r="10" spans="1:17" ht="14" customHeight="1" x14ac:dyDescent="0.35">
      <c r="B10" s="53" t="s">
        <v>124</v>
      </c>
      <c r="C10" s="54" t="s">
        <v>125</v>
      </c>
      <c r="D10" s="55" t="s">
        <v>126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562500</v>
      </c>
      <c r="K10" s="56">
        <v>562500</v>
      </c>
      <c r="L10" s="56">
        <v>562500</v>
      </c>
      <c r="M10" s="56">
        <v>562500</v>
      </c>
      <c r="N10" s="56">
        <v>562500</v>
      </c>
      <c r="O10" s="56">
        <v>562500</v>
      </c>
      <c r="P10" s="56">
        <v>562500</v>
      </c>
      <c r="Q10" s="56">
        <v>3937500</v>
      </c>
    </row>
    <row r="11" spans="1:17" ht="14" customHeight="1" x14ac:dyDescent="0.35">
      <c r="B11" s="57" t="s">
        <v>127</v>
      </c>
      <c r="C11" s="58" t="s">
        <v>128</v>
      </c>
      <c r="D11" s="59" t="s">
        <v>126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0">
        <v>0</v>
      </c>
      <c r="K11" s="60">
        <v>761490</v>
      </c>
      <c r="L11" s="60">
        <v>1080000</v>
      </c>
      <c r="M11" s="60">
        <v>540000</v>
      </c>
      <c r="N11" s="60">
        <v>0</v>
      </c>
      <c r="O11" s="60">
        <v>540000</v>
      </c>
      <c r="P11" s="60">
        <v>588420</v>
      </c>
      <c r="Q11" s="60">
        <v>3509910</v>
      </c>
    </row>
    <row r="12" spans="1:17" ht="14" customHeight="1" x14ac:dyDescent="0.35">
      <c r="B12" s="53" t="s">
        <v>129</v>
      </c>
      <c r="C12" s="54" t="s">
        <v>130</v>
      </c>
      <c r="D12" s="55" t="s">
        <v>131</v>
      </c>
      <c r="E12" s="56">
        <v>0</v>
      </c>
      <c r="F12" s="56">
        <v>0</v>
      </c>
      <c r="G12" s="56">
        <v>0</v>
      </c>
      <c r="H12" s="56">
        <v>150420</v>
      </c>
      <c r="I12" s="56">
        <v>150420</v>
      </c>
      <c r="J12" s="56">
        <v>150420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451260</v>
      </c>
    </row>
    <row r="13" spans="1:17" ht="14" customHeight="1" x14ac:dyDescent="0.35">
      <c r="B13" s="57" t="s">
        <v>132</v>
      </c>
      <c r="C13" s="58" t="s">
        <v>133</v>
      </c>
      <c r="D13" s="59" t="s">
        <v>134</v>
      </c>
      <c r="E13" s="60">
        <v>0</v>
      </c>
      <c r="F13" s="60">
        <v>0</v>
      </c>
      <c r="G13" s="60">
        <v>0</v>
      </c>
      <c r="H13" s="60">
        <v>0</v>
      </c>
      <c r="I13" s="60">
        <v>43330</v>
      </c>
      <c r="J13" s="60">
        <v>140821</v>
      </c>
      <c r="K13" s="60">
        <v>40621</v>
      </c>
      <c r="L13" s="60">
        <v>0</v>
      </c>
      <c r="M13" s="60">
        <v>0</v>
      </c>
      <c r="N13" s="60">
        <v>0</v>
      </c>
      <c r="O13" s="60">
        <v>0</v>
      </c>
      <c r="P13" s="60">
        <v>0</v>
      </c>
      <c r="Q13" s="60">
        <v>224772</v>
      </c>
    </row>
    <row r="14" spans="1:17" ht="14" customHeight="1" x14ac:dyDescent="0.35">
      <c r="B14" s="53" t="s">
        <v>135</v>
      </c>
      <c r="C14" s="54" t="s">
        <v>136</v>
      </c>
      <c r="D14" s="55" t="s">
        <v>134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200000</v>
      </c>
      <c r="M14" s="56">
        <v>290000</v>
      </c>
      <c r="N14" s="56">
        <v>0</v>
      </c>
      <c r="O14" s="56">
        <v>0</v>
      </c>
      <c r="P14" s="56">
        <v>300000</v>
      </c>
      <c r="Q14" s="56">
        <v>790000</v>
      </c>
    </row>
    <row r="15" spans="1:17" ht="16" customHeight="1" x14ac:dyDescent="0.35">
      <c r="A15" s="10"/>
      <c r="B15" s="61" t="s">
        <v>15</v>
      </c>
      <c r="D15" s="12">
        <v>0</v>
      </c>
      <c r="E15" s="12">
        <v>0</v>
      </c>
      <c r="F15" s="12">
        <v>0</v>
      </c>
      <c r="G15" s="12">
        <v>215732</v>
      </c>
      <c r="H15" s="12">
        <v>259062</v>
      </c>
      <c r="I15" s="12">
        <v>1816373</v>
      </c>
      <c r="J15" s="12">
        <v>2327243</v>
      </c>
      <c r="K15" s="12">
        <v>2805132</v>
      </c>
      <c r="L15" s="12">
        <v>2355132</v>
      </c>
      <c r="M15" s="12">
        <v>1580132</v>
      </c>
      <c r="N15" s="12">
        <v>2120132</v>
      </c>
      <c r="O15" s="12">
        <v>4772591</v>
      </c>
      <c r="P15" s="12">
        <v>18251529</v>
      </c>
    </row>
    <row r="17" spans="2:15" ht="25" customHeight="1" x14ac:dyDescent="0.35">
      <c r="B17" s="72" t="s">
        <v>137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</sheetData>
  <mergeCells count="2">
    <mergeCell ref="B17:O17"/>
    <mergeCell ref="B1:O1"/>
  </mergeCells>
  <pageMargins left="0.75" right="0.75" top="1" bottom="1" header="0.5" footer="0.5"/>
  <headerFooter>
    <oddHeader>&amp;C&amp;G</oddHeader>
    <oddFooter>&amp;C_x000D_&amp;1#&amp;"Aptos"&amp;13&amp;K000000 Internal - Midofficedata.com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 P&amp;L</vt:lpstr>
      <vt:lpstr>Monthly P&amp;L</vt:lpstr>
      <vt:lpstr>COGS Allocation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Pareek</cp:lastModifiedBy>
  <dcterms:created xsi:type="dcterms:W3CDTF">2026-04-02T10:38:32Z</dcterms:created>
  <dcterms:modified xsi:type="dcterms:W3CDTF">2026-06-08T02:52:07Z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5658ad-1984-4925-ba1d-41c7a05843e1_Enabled">
    <vt:lpwstr>true</vt:lpwstr>
  </property>
  <property fmtid="{D5CDD505-2E9C-101B-9397-08002B2CF9AE}" pid="3" name="MSIP_Label_495658ad-1984-4925-ba1d-41c7a05843e1_SetDate">
    <vt:lpwstr>2026-06-08T02:52:04Z</vt:lpwstr>
  </property>
  <property fmtid="{D5CDD505-2E9C-101B-9397-08002B2CF9AE}" pid="4" name="MSIP_Label_495658ad-1984-4925-ba1d-41c7a05843e1_Method">
    <vt:lpwstr>Standard</vt:lpwstr>
  </property>
  <property fmtid="{D5CDD505-2E9C-101B-9397-08002B2CF9AE}" pid="5" name="MSIP_Label_495658ad-1984-4925-ba1d-41c7a05843e1_Name">
    <vt:lpwstr>Internal - Midofficedata.com</vt:lpwstr>
  </property>
  <property fmtid="{D5CDD505-2E9C-101B-9397-08002B2CF9AE}" pid="6" name="MSIP_Label_495658ad-1984-4925-ba1d-41c7a05843e1_SiteId">
    <vt:lpwstr>1806032f-a719-453e-8e14-5a5385413df4</vt:lpwstr>
  </property>
  <property fmtid="{D5CDD505-2E9C-101B-9397-08002B2CF9AE}" pid="7" name="MSIP_Label_495658ad-1984-4925-ba1d-41c7a05843e1_ActionId">
    <vt:lpwstr>27076525-279c-43be-9396-9398d26bfc44</vt:lpwstr>
  </property>
  <property fmtid="{D5CDD505-2E9C-101B-9397-08002B2CF9AE}" pid="8" name="MSIP_Label_495658ad-1984-4925-ba1d-41c7a05843e1_ContentBits">
    <vt:lpwstr>6</vt:lpwstr>
  </property>
  <property fmtid="{D5CDD505-2E9C-101B-9397-08002B2CF9AE}" pid="9" name="MSIP_Label_495658ad-1984-4925-ba1d-41c7a05843e1_Tag">
    <vt:lpwstr>10, 3, 0, 1</vt:lpwstr>
  </property>
</Properties>
</file>